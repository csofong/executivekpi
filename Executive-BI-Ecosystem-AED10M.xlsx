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Monthly Data" sheetId="3" state="visible" r:id="rId5"/>
    <sheet name="KPI Tracker" sheetId="4" state="visible" r:id="rId6"/>
    <sheet name="Business Unit Analysis" sheetId="5" state="visible" r:id="rId7"/>
    <sheet name="Executive Dashboard" sheetId="6" state="visible" r:id="rId8"/>
  </sheets>
  <definedNames>
    <definedName function="false" hidden="true" localSheetId="2" name="_xlnm._FilterDatabase" vbProcedure="false">'Monthly Data'!$A$1:$Q$49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<sst xmlns="http://schemas.openxmlformats.org/spreadsheetml/2006/main" count="238" uniqueCount="101">
  <si>
    <t xml:space="preserve">Executive Business Intelligence Ecosystem</t>
  </si>
  <si>
    <t xml:space="preserve">AED 10,000,000 Annual Business Value — Demonstration Model</t>
  </si>
  <si>
    <t xml:space="preserve">ABOUT THIS WORKBOOK</t>
  </si>
  <si>
    <t xml:space="preserve">This workbook is a full business intelligence ecosystem built around a single scenario: a business with</t>
  </si>
  <si>
    <t xml:space="preserve">AED 10,000,000 in total annual business value, split across four business units. It demonstrates the</t>
  </si>
  <si>
    <t xml:space="preserve">kind of end-to-end reporting infrastructure used in executive reporting, revenue operations, and financial</t>
  </si>
  <si>
    <t xml:space="preserve">administration — from raw data, to a data dictionary of assumptions, to a live executive dashboard.</t>
  </si>
  <si>
    <t xml:space="preserve">All monetary values are illustrative and clearly documented as assumptions or synthetic data for</t>
  </si>
  <si>
    <t xml:space="preserve">demonstration purposes. No formula recalculates a value that should instead be sourced from a real system.</t>
  </si>
  <si>
    <t xml:space="preserve">HOW THE WORKBOOK IS STRUCTURED</t>
  </si>
  <si>
    <t xml:space="preserve">1. Assumptions</t>
  </si>
  <si>
    <t xml:space="preserve">The single source of truth. Every driver — revenue share, COGS %, credit terms, DSO and inventory turnover targets, monthly seasonality — lives here. Change a number here and it flows through the entire model.</t>
  </si>
  <si>
    <t xml:space="preserve">2. Monthly Data (Fact Table)</t>
  </si>
  <si>
    <t xml:space="preserve">48 rows — 12 months x 4 business units. Revenue, receivables and inventory are entered as actuals (blue); every ratio (DSO, turnover, margin) is calculated live by formula.</t>
  </si>
  <si>
    <t xml:space="preserve">3. KPI Tracker</t>
  </si>
  <si>
    <t xml:space="preserve">Company-wide monthly rollup, aggregated automatically from the fact table using SUMIFS/AVERAGEIFS — no manual totals.</t>
  </si>
  <si>
    <t xml:space="preserve">4. Business Unit Analysis</t>
  </si>
  <si>
    <t xml:space="preserve">Annual performance by business unit, side by side, with a comparison chart.</t>
  </si>
  <si>
    <t xml:space="preserve">5. Executive Dashboard</t>
  </si>
  <si>
    <t xml:space="preserve">Scorecards and live charts — Revenue vs Target, DSO trend, Inventory Turnover trend, Revenue mix by unit. Everything on this tab is a formula or a chart; it contains no typed-in numbers.</t>
  </si>
  <si>
    <t xml:space="preserve">COLOR KEY</t>
  </si>
  <si>
    <t xml:space="preserve">Blue text = a hardcoded input or assumption. Black text = a live formula. Never overwrite a black-text formula cell.</t>
  </si>
  <si>
    <t xml:space="preserve">To extend the model: add a new month or business unit row in 'Monthly Data', following the same formula pattern as the row above it, then the Tracker, Analysis and Dashboard tabs update automatically.</t>
  </si>
  <si>
    <t xml:space="preserve">Business Assumptions &amp; Data Dictionary</t>
  </si>
  <si>
    <t xml:space="preserve">Single source of truth — every driver in this model traces back to a cell on this tab.</t>
  </si>
  <si>
    <t xml:space="preserve">COMPANY-LEVEL ASSUMPTIONS</t>
  </si>
  <si>
    <t xml:space="preserve">Total Annual Business Value (AED)</t>
  </si>
  <si>
    <t xml:space="preserve">Reporting Year</t>
  </si>
  <si>
    <t xml:space="preserve">BUSINESS UNIT REVENUE SHARE</t>
  </si>
  <si>
    <t xml:space="preserve">Business Unit</t>
  </si>
  <si>
    <t xml:space="preserve">Revenue Share %</t>
  </si>
  <si>
    <t xml:space="preserve">Executive &amp; Corporate Services</t>
  </si>
  <si>
    <t xml:space="preserve">Client Operations &amp; Revenue Recovery</t>
  </si>
  <si>
    <t xml:space="preserve">Product &amp; Technology (Atrium)</t>
  </si>
  <si>
    <t xml:space="preserve">Consulting &amp; Advisory</t>
  </si>
  <si>
    <t xml:space="preserve">Total</t>
  </si>
  <si>
    <t xml:space="preserve">BUSINESS UNIT OPERATING ASSUMPTIONS</t>
  </si>
  <si>
    <t xml:space="preserve">COGS %</t>
  </si>
  <si>
    <t xml:space="preserve">Credit Sales %</t>
  </si>
  <si>
    <t xml:space="preserve">DSO Target (Days)</t>
  </si>
  <si>
    <t xml:space="preserve">Inventory Turnover Target (x)</t>
  </si>
  <si>
    <t xml:space="preserve">MONTHLY SEASONALITY &amp; CALENDAR</t>
  </si>
  <si>
    <t xml:space="preserve">Month</t>
  </si>
  <si>
    <t xml:space="preserve">Seasonality Index</t>
  </si>
  <si>
    <t xml:space="preserve">Days in Month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</si>
  <si>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</si>
  <si>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</si>
  <si>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</si>
  <si>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</si>
  <si>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</si>
  <si>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</si>
  <si>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</si>
  <si>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</si>
  <si>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</si>
  <si>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</si>
  <si>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</si>
  <si>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</si>
  <si>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Revenue Target (AED)</t>
  </si>
  <si>
    <t xml:space="preserve">Revenue Actual (AED)</t>
  </si>
  <si>
    <t xml:space="preserve">Achievement %</t>
  </si>
  <si>
    <t xml:space="preserve">COGS (AED)</t>
  </si>
  <si>
    <t xml:space="preserve">Gross Profit (AED)</t>
  </si>
  <si>
    <t xml:space="preserve">Gross Margin %</t>
  </si>
  <si>
    <t xml:space="preserve">Credit Sales (AED)</t>
  </si>
  <si>
    <t xml:space="preserve">Closing Receivables (AED)</t>
  </si>
  <si>
    <t xml:space="preserve">DSO (Days)</t>
  </si>
  <si>
    <t xml:space="preserve">Average Inventory (AED)</t>
  </si>
  <si>
    <t xml:space="preserve">Inventory Turnover (x)</t>
  </si>
  <si>
    <t xml:space="preserve">Inventory Days</t>
  </si>
  <si>
    <t xml:space="preserve">Blue text = synthetic input for this demonstration (Revenue Actual, Closing Receivables, Average Inventory). All other columns are live formulas.</t>
  </si>
  <si>
    <t xml:space="preserve">Company KPI Tracker</t>
  </si>
  <si>
    <t xml:space="preserve">Monthly rollup — every cell below is aggregated live from Monthly Data via SUMIFS/AVERAGEIFS.</t>
  </si>
  <si>
    <t xml:space="preserve">Variance (AED)</t>
  </si>
  <si>
    <t xml:space="preserve">Total COGS (AED)</t>
  </si>
  <si>
    <t xml:space="preserve">Total Credit Sales (AED)</t>
  </si>
  <si>
    <t xml:space="preserve">Company DSO (Days)</t>
  </si>
  <si>
    <t xml:space="preserve">Full Year</t>
  </si>
  <si>
    <t xml:space="preserve">Business Unit Analysis</t>
  </si>
  <si>
    <t xml:space="preserve">Full-year performance by business unit — aggregated live from Monthly Data.</t>
  </si>
  <si>
    <t xml:space="preserve">Avg DSO (Days)</t>
  </si>
  <si>
    <t xml:space="preserve">Avg Inventory Turnover (x)</t>
  </si>
  <si>
    <t xml:space="preserve">Total / Average</t>
  </si>
  <si>
    <t xml:space="preserve">Executive Dashboard</t>
  </si>
  <si>
    <t xml:space="preserve">AED 10,000,000 Annual Business Value  |  FY2026  |  All figures live from Monthly Data</t>
  </si>
  <si>
    <t xml:space="preserve">ANNUAL REVENUE TARGET</t>
  </si>
  <si>
    <t xml:space="preserve">ANNUAL REVENUE ACTUAL</t>
  </si>
  <si>
    <t xml:space="preserve">ACHIEVEMENT</t>
  </si>
  <si>
    <t xml:space="preserve">GROSS MARGIN</t>
  </si>
  <si>
    <t xml:space="preserve">FY2026 full-year target</t>
  </si>
  <si>
    <t xml:space="preserve">FY2026 full-year actual</t>
  </si>
  <si>
    <t xml:space="preserve">Actual vs target</t>
  </si>
  <si>
    <t xml:space="preserve">Full-year average</t>
  </si>
  <si>
    <t xml:space="preserve">AVERAGE DSO</t>
  </si>
  <si>
    <t xml:space="preserve">INVENTORY TURNOVER</t>
  </si>
  <si>
    <t xml:space="preserve">TOTAL RECEIVABLES</t>
  </si>
  <si>
    <t xml:space="preserve">REVENUE VARIANCE</t>
  </si>
  <si>
    <t xml:space="preserve">Days sales outstanding</t>
  </si>
  <si>
    <t xml:space="preserve">Annualized, average</t>
  </si>
  <si>
    <t xml:space="preserve">Average monthly closing balance</t>
  </si>
  <si>
    <t xml:space="preserve">Actual less target, FY2026</t>
  </si>
  <si>
    <t xml:space="preserve">Source: Monthly Data (fact table) -&gt; KPI Tracker / Business Unit Analysis (aggregation) -&gt; Executive Dashboard (presentation). No values are typed directly on this tab.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</si>
</sst>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AED &quot;#,##0"/>
    <numFmt numFmtId="166" formatCode="0%"/>
    <numFmt numFmtId="167" formatCode="0"/>
    <numFmt numFmtId="168" formatCode="0.0"/>
    <numFmt numFmtId="169" formatCode="0.00"/>
    <numFmt numFmtId="170" formatCode="0.0%"/>
    <numFmt numFmtId="171" formatCode="0.0&quot; days&quot;"/>
    <numFmt numFmtId="172" formatCode="0.00&quot; x&quot;"/>
    <numFmt numFmtId="173" formatCode="&quot;AED &quot;#,##0;&quot;-AED &quot;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6324F"/>
      <name val="Calibri"/>
      <family val="0"/>
      <charset val="1"/>
    </font>
    <font>
      <i val="true"/>
      <sz val="11"/>
      <color rgb="FF808080"/>
      <name val="Calibri"/>
      <family val="0"/>
      <charset val="1"/>
    </font>
    <font>
      <b val="true"/>
      <sz val="12"/>
      <color rgb="FF16324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808080"/>
      <name val="Calibri"/>
      <family val="0"/>
      <charset val="1"/>
    </font>
    <font>
      <b val="true"/>
      <sz val="22"/>
      <color rgb="FF16324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6324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8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6324F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Target vs Actual by Business Unit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'Business Unit Analysis'!B4</c:f>
              <c:strCache>
                <c:ptCount val="1"/>
                <c:pt idx="0">
                  <c:v>Revenue Target (AED)</c:v>
                </c:pt>
              </c:strCache>
            </c:strRef>
          </c:tx>
          <c:spPr>
            <a:solidFill>
              <a:srgbClr val="d9d9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Unit Analysis'!$A$5:$A$8</c:f>
              <c:strCache>
                <c:ptCount val="4"/>
                <c:pt idx="0">
                  <c:v>Executive &amp; Corporate Services</c:v>
                </c:pt>
                <c:pt idx="1">
                  <c:v>Client Operations &amp; Revenue Recovery</c:v>
                </c:pt>
                <c:pt idx="2">
                  <c:v>Product &amp; Technology (Atrium)</c:v>
                </c:pt>
                <c:pt idx="3">
                  <c:v>Consulting &amp; Advisory</c:v>
                </c:pt>
              </c:strCache>
            </c:strRef>
          </c:cat>
          <c:val>
            <c:numRef>
              <c:f>'Business Unit Analysis'!$B$5:$B$8</c:f>
              <c:numCache>
                <c:formatCode>"AED "#,##0</c:formatCode>
                <c:ptCount val="4"/>
                <c:pt idx="0">
                  <c:v>3500000</c:v>
                </c:pt>
                <c:pt idx="1">
                  <c:v>3000000</c:v>
                </c:pt>
                <c:pt idx="2">
                  <c:v>2000000</c:v>
                </c:pt>
                <c:pt idx="3">
                  <c:v>1500000</c:v>
                </c:pt>
              </c:numCache>
            </c:numRef>
          </c:val>
        </c:ser>
        <c:ser>
          <c:idx val="1"/>
          <c:order val="1"/>
          <c:tx>
            <c:strRef>
              <c:f>'Business Unit Analysis'!C4</c:f>
              <c:strCache>
                <c:ptCount val="1"/>
                <c:pt idx="0">
                  <c:v>Revenue Actual (AED)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Unit Analysis'!$A$5:$A$8</c:f>
              <c:strCache>
                <c:ptCount val="4"/>
                <c:pt idx="0">
                  <c:v>Executive &amp; Corporate Services</c:v>
                </c:pt>
                <c:pt idx="1">
                  <c:v>Client Operations &amp; Revenue Recovery</c:v>
                </c:pt>
                <c:pt idx="2">
                  <c:v>Product &amp; Technology (Atrium)</c:v>
                </c:pt>
                <c:pt idx="3">
                  <c:v>Consulting &amp; Advisory</c:v>
                </c:pt>
              </c:strCache>
            </c:strRef>
          </c:cat>
          <c:val>
            <c:numRef>
              <c:f>'Business Unit Analysis'!$C$5:$C$8</c:f>
              <c:numCache>
                <c:formatCode>"AED "#,##0</c:formatCode>
                <c:ptCount val="4"/>
                <c:pt idx="0">
                  <c:v>3617928.46153846</c:v>
                </c:pt>
                <c:pt idx="1">
                  <c:v>2962190.25641026</c:v>
                </c:pt>
                <c:pt idx="2">
                  <c:v>2023122.22222222</c:v>
                </c:pt>
                <c:pt idx="3">
                  <c:v>1525772.17948718</c:v>
                </c:pt>
              </c:numCache>
            </c:numRef>
          </c:val>
        </c:ser>
        <c:gapWidth val="60"/>
        <c:overlap val="-10"/>
        <c:axId val="53531723"/>
        <c:axId val="37383080"/>
      </c:barChart>
      <c:catAx>
        <c:axId val="53531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83080"/>
        <c:crosses val="autoZero"/>
        <c:auto val="1"/>
        <c:lblAlgn val="ctr"/>
        <c:lblOffset val="100"/>
        <c:noMultiLvlLbl val="0"/>
      </c:catAx>
      <c:valAx>
        <c:axId val="37383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AED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317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Actual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Tracker'!B4</c:f>
              <c:strCache>
                <c:ptCount val="1"/>
                <c:pt idx="0">
                  <c:v>Revenue Target (AED)</c:v>
                </c:pt>
              </c:strCache>
            </c:strRef>
          </c:tx>
          <c:spPr>
            <a:solidFill>
              <a:srgbClr val="808080"/>
            </a:solidFill>
            <a:ln w="180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Tracker'!$A$5:$A$16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'KPI Tracker'!$B$5:$B$16</c:f>
              <c:numCache>
                <c:formatCode>"AED "#,##0</c:formatCode>
                <c:ptCount val="12"/>
                <c:pt idx="0">
                  <c:v>769230.769230769</c:v>
                </c:pt>
                <c:pt idx="1">
                  <c:v>752136.752136752</c:v>
                </c:pt>
                <c:pt idx="2">
                  <c:v>811965.811965812</c:v>
                </c:pt>
                <c:pt idx="3">
                  <c:v>786324.786324786</c:v>
                </c:pt>
                <c:pt idx="4">
                  <c:v>769230.769230769</c:v>
                </c:pt>
                <c:pt idx="5">
                  <c:v>683760.683760684</c:v>
                </c:pt>
                <c:pt idx="6">
                  <c:v>641025.641025641</c:v>
                </c:pt>
                <c:pt idx="7">
                  <c:v>683760.683760684</c:v>
                </c:pt>
                <c:pt idx="8">
                  <c:v>897435.897435898</c:v>
                </c:pt>
                <c:pt idx="9">
                  <c:v>982905.982905983</c:v>
                </c:pt>
                <c:pt idx="10">
                  <c:v>1068376.06837607</c:v>
                </c:pt>
                <c:pt idx="11">
                  <c:v>1153846.15384615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Tracker'!C4</c:f>
              <c:strCache>
                <c:ptCount val="1"/>
                <c:pt idx="0">
                  <c:v>Revenue Actual (AED)</c:v>
                </c:pt>
              </c:strCache>
            </c:strRef>
          </c:tx>
          <c:spPr>
            <a:solidFill>
              <a:srgbClr val="1f4e78"/>
            </a:solidFill>
            <a:ln w="24120">
              <a:solidFill>
                <a:srgbClr val="1f4e78"/>
              </a:solidFill>
              <a:round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Tracker'!$A$5:$A$16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'KPI Tracker'!$C$5:$C$16</c:f>
              <c:numCache>
                <c:formatCode>"AED "#,##0</c:formatCode>
                <c:ptCount val="12"/>
                <c:pt idx="0">
                  <c:v>765173.076923077</c:v>
                </c:pt>
                <c:pt idx="1">
                  <c:v>742821.538461539</c:v>
                </c:pt>
                <c:pt idx="2">
                  <c:v>839284.401709402</c:v>
                </c:pt>
                <c:pt idx="3">
                  <c:v>792375.555555556</c:v>
                </c:pt>
                <c:pt idx="4">
                  <c:v>772007.692307692</c:v>
                </c:pt>
                <c:pt idx="5">
                  <c:v>701278.632478633</c:v>
                </c:pt>
                <c:pt idx="6">
                  <c:v>641916.666666667</c:v>
                </c:pt>
                <c:pt idx="7">
                  <c:v>665528.205128205</c:v>
                </c:pt>
                <c:pt idx="8">
                  <c:v>955715.384615385</c:v>
                </c:pt>
                <c:pt idx="9">
                  <c:v>983505.555555556</c:v>
                </c:pt>
                <c:pt idx="10">
                  <c:v>1076410.25641026</c:v>
                </c:pt>
                <c:pt idx="11">
                  <c:v>1192996.15384615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553584"/>
        <c:axId val="55212525"/>
      </c:lineChart>
      <c:catAx>
        <c:axId val="895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12525"/>
        <c:crosses val="autoZero"/>
        <c:auto val="1"/>
        <c:lblAlgn val="ctr"/>
        <c:lblOffset val="100"/>
        <c:noMultiLvlLbl val="0"/>
      </c:catAx>
      <c:valAx>
        <c:axId val="55212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AED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535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Company DSO Trend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Tracker'!K4</c:f>
              <c:strCache>
                <c:ptCount val="1"/>
                <c:pt idx="0">
                  <c:v>Company DSO (Days)</c:v>
                </c:pt>
              </c:strCache>
            </c:strRef>
          </c:tx>
          <c:spPr>
            <a:solidFill>
              <a:srgbClr val="1f4e78"/>
            </a:solidFill>
            <a:ln w="24120">
              <a:solidFill>
                <a:srgbClr val="1f4e78"/>
              </a:solidFill>
              <a:round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Tracker'!$A$5:$A$16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'KPI Tracker'!$K$5:$K$16</c:f>
              <c:numCache>
                <c:formatCode>0.0</c:formatCode>
                <c:ptCount val="12"/>
                <c:pt idx="0">
                  <c:v>40.7124890580969</c:v>
                </c:pt>
                <c:pt idx="1">
                  <c:v>39.3189790269483</c:v>
                </c:pt>
                <c:pt idx="2">
                  <c:v>43.8783521174438</c:v>
                </c:pt>
                <c:pt idx="3">
                  <c:v>44.2339205182624</c:v>
                </c:pt>
                <c:pt idx="4">
                  <c:v>40.9698696655752</c:v>
                </c:pt>
                <c:pt idx="5">
                  <c:v>44.9080603083874</c:v>
                </c:pt>
                <c:pt idx="6">
                  <c:v>44.2692135765784</c:v>
                </c:pt>
                <c:pt idx="7">
                  <c:v>39.5303572215103</c:v>
                </c:pt>
                <c:pt idx="8">
                  <c:v>40.5951905636317</c:v>
                </c:pt>
                <c:pt idx="9">
                  <c:v>46.0075030491152</c:v>
                </c:pt>
                <c:pt idx="10">
                  <c:v>41.5634209168456</c:v>
                </c:pt>
                <c:pt idx="11">
                  <c:v>42.4606948493079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585347"/>
        <c:axId val="54843668"/>
      </c:lineChart>
      <c:catAx>
        <c:axId val="245853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43668"/>
        <c:crosses val="autoZero"/>
        <c:auto val="1"/>
        <c:lblAlgn val="ctr"/>
        <c:lblOffset val="100"/>
        <c:noMultiLvlLbl val="0"/>
      </c:catAx>
      <c:valAx>
        <c:axId val="54843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85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Turnover Trend (x, annualized)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Tracker'!M4</c:f>
              <c:strCache>
                <c:ptCount val="1"/>
                <c:pt idx="0">
                  <c:v>Inventory Turnover (x)</c:v>
                </c:pt>
              </c:strCache>
            </c:strRef>
          </c:tx>
          <c:spPr>
            <a:solidFill>
              <a:srgbClr val="404040"/>
            </a:solidFill>
            <a:ln w="24120">
              <a:solidFill>
                <a:srgbClr val="404040"/>
              </a:solidFill>
              <a:round/>
            </a:ln>
          </c:spPr>
          <c:marker>
            <c:symbol val="circle"/>
            <c:size val="5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Tracker'!$A$5:$A$16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'KPI Tracker'!$M$5:$M$16</c:f>
              <c:numCache>
                <c:formatCode>0.00</c:formatCode>
                <c:ptCount val="12"/>
                <c:pt idx="0">
                  <c:v>7.81659152311969</c:v>
                </c:pt>
                <c:pt idx="1">
                  <c:v>7.6040914279538</c:v>
                </c:pt>
                <c:pt idx="2">
                  <c:v>8.04975621019035</c:v>
                </c:pt>
                <c:pt idx="3">
                  <c:v>7.93435698201514</c:v>
                </c:pt>
                <c:pt idx="4">
                  <c:v>7.64502402458116</c:v>
                </c:pt>
                <c:pt idx="5">
                  <c:v>7.3813384298786</c:v>
                </c:pt>
                <c:pt idx="6">
                  <c:v>7.56712707490185</c:v>
                </c:pt>
                <c:pt idx="7">
                  <c:v>7.72455938125123</c:v>
                </c:pt>
                <c:pt idx="8">
                  <c:v>7.30020338772056</c:v>
                </c:pt>
                <c:pt idx="9">
                  <c:v>7.94294839410396</c:v>
                </c:pt>
                <c:pt idx="10">
                  <c:v>7.70539062062372</c:v>
                </c:pt>
                <c:pt idx="11">
                  <c:v>7.77553737389637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638410"/>
        <c:axId val="19233100"/>
      </c:lineChart>
      <c:catAx>
        <c:axId val="58638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33100"/>
        <c:crosses val="autoZero"/>
        <c:auto val="1"/>
        <c:lblAlgn val="ctr"/>
        <c:lblOffset val="100"/>
        <c:noMultiLvlLbl val="0"/>
      </c:catAx>
      <c:valAx>
        <c:axId val="19233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38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FY2026 Revenue Mix by Business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'Business Unit Analysis'!C4</c:f>
              <c:strCache>
                <c:ptCount val="1"/>
                <c:pt idx="0">
                  <c:v>Revenue Actual (AED)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Unit Analysis'!$A$5:$A$8</c:f>
              <c:strCache>
                <c:ptCount val="4"/>
                <c:pt idx="0">
                  <c:v>Executive &amp; Corporate Services</c:v>
                </c:pt>
                <c:pt idx="1">
                  <c:v>Client Operations &amp; Revenue Recovery</c:v>
                </c:pt>
                <c:pt idx="2">
                  <c:v>Product &amp; Technology (Atrium)</c:v>
                </c:pt>
                <c:pt idx="3">
                  <c:v>Consulting &amp; Advisory</c:v>
                </c:pt>
              </c:strCache>
            </c:strRef>
          </c:cat>
          <c:val>
            <c:numRef>
              <c:f>'Business Unit Analysis'!$C$5:$C$8</c:f>
              <c:numCache>
                <c:formatCode>"AED "#,##0</c:formatCode>
                <c:ptCount val="4"/>
                <c:pt idx="0">
                  <c:v>3617928.46153846</c:v>
                </c:pt>
                <c:pt idx="1">
                  <c:v>2962190.25641026</c:v>
                </c:pt>
                <c:pt idx="2">
                  <c:v>2023122.22222222</c:v>
                </c:pt>
                <c:pt idx="3">
                  <c:v>1525772.17948718</c:v>
                </c:pt>
              </c:numCache>
            </c:numRef>
          </c:val>
        </c:ser>
        <c:gapWidth val="150"/>
        <c:overlap val="0"/>
        <c:axId val="10893871"/>
        <c:axId val="49152609"/>
      </c:barChart>
      <c:catAx>
        <c:axId val="1089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52609"/>
        <c:crosses val="autoZero"/>
        <c:auto val="1"/>
        <c:lblAlgn val="ctr"/>
        <c:lblOffset val="100"/>
        <c:noMultiLvlLbl val="0"/>
      </c:catAx>
      <c:valAx>
        <c:axId val="49152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AED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938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101160</xdr:rowOff>
    </xdr:from>
    <xdr:to>
      <xdr:col>6</xdr:col>
      <xdr:colOff>377640</xdr:colOff>
      <xdr:row>27</xdr:row>
      <xdr:rowOff>102240</xdr:rowOff>
    </xdr:to>
    <xdr:graphicFrame>
      <xdr:nvGraphicFramePr>
        <xdr:cNvPr id="0" name="Chart 1"/>
        <xdr:cNvGraphicFramePr/>
      </xdr:nvGraphicFramePr>
      <xdr:xfrm>
        <a:off x="0" y="2257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101160</xdr:rowOff>
    </xdr:from>
    <xdr:to>
      <xdr:col>6</xdr:col>
      <xdr:colOff>1037160</xdr:colOff>
      <xdr:row>30</xdr:row>
      <xdr:rowOff>112680</xdr:rowOff>
    </xdr:to>
    <xdr:graphicFrame>
      <xdr:nvGraphicFramePr>
        <xdr:cNvPr id="1" name="Chart 1"/>
        <xdr:cNvGraphicFramePr/>
      </xdr:nvGraphicFramePr>
      <xdr:xfrm>
        <a:off x="211320" y="2857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14</xdr:row>
      <xdr:rowOff>101160</xdr:rowOff>
    </xdr:from>
    <xdr:to>
      <xdr:col>15</xdr:col>
      <xdr:colOff>330480</xdr:colOff>
      <xdr:row>30</xdr:row>
      <xdr:rowOff>112680</xdr:rowOff>
    </xdr:to>
    <xdr:graphicFrame>
      <xdr:nvGraphicFramePr>
        <xdr:cNvPr id="2" name="Chart 2"/>
        <xdr:cNvGraphicFramePr/>
      </xdr:nvGraphicFramePr>
      <xdr:xfrm>
        <a:off x="7189560" y="2857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101160</xdr:rowOff>
    </xdr:from>
    <xdr:to>
      <xdr:col>6</xdr:col>
      <xdr:colOff>1037160</xdr:colOff>
      <xdr:row>48</xdr:row>
      <xdr:rowOff>112680</xdr:rowOff>
    </xdr:to>
    <xdr:graphicFrame>
      <xdr:nvGraphicFramePr>
        <xdr:cNvPr id="3" name="Chart 3"/>
        <xdr:cNvGraphicFramePr/>
      </xdr:nvGraphicFramePr>
      <xdr:xfrm>
        <a:off x="211320" y="6286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101160</xdr:rowOff>
    </xdr:from>
    <xdr:to>
      <xdr:col>15</xdr:col>
      <xdr:colOff>330480</xdr:colOff>
      <xdr:row>48</xdr:row>
      <xdr:rowOff>112680</xdr:rowOff>
    </xdr:to>
    <xdr:graphicFrame>
      <xdr:nvGraphicFramePr>
        <xdr:cNvPr id="4" name="Chart 4"/>
        <xdr:cNvGraphicFramePr/>
      </xdr:nvGraphicFramePr>
      <xdr:xfrm>
        <a:off x="7189560" y="6286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true" outlineLevel="0" collapsed="false">
      <c r="B16" s="4" t="s">
        <v>11</v>
      </c>
    </row>
    <row r="18" customFormat="false" ht="15" hidden="false" customHeight="false" outlineLevel="0" collapsed="false">
      <c r="B18" s="5" t="s">
        <v>12</v>
      </c>
    </row>
    <row r="19" customFormat="false" ht="15" hidden="false" customHeight="true" outlineLevel="0" collapsed="false">
      <c r="B19" s="4" t="s">
        <v>13</v>
      </c>
    </row>
    <row r="21" customFormat="false" ht="15" hidden="false" customHeight="false" outlineLevel="0" collapsed="false">
      <c r="B21" s="5" t="s">
        <v>14</v>
      </c>
    </row>
    <row r="22" customFormat="false" ht="15" hidden="false" customHeight="true" outlineLevel="0" collapsed="false">
      <c r="B22" s="4" t="s">
        <v>15</v>
      </c>
    </row>
    <row r="24" customFormat="false" ht="15" hidden="false" customHeight="false" outlineLevel="0" collapsed="false">
      <c r="B24" s="5" t="s">
        <v>16</v>
      </c>
    </row>
    <row r="25" customFormat="false" ht="15" hidden="false" customHeight="true" outlineLevel="0" collapsed="false">
      <c r="B25" s="4" t="s">
        <v>17</v>
      </c>
    </row>
    <row r="27" customFormat="false" ht="15" hidden="false" customHeight="false" outlineLevel="0" collapsed="false">
      <c r="B27" s="5" t="s">
        <v>18</v>
      </c>
    </row>
    <row r="28" customFormat="false" ht="15" hidden="false" customHeight="true" outlineLevel="0" collapsed="false">
      <c r="B28" s="4" t="s">
        <v>19</v>
      </c>
    </row>
    <row r="30" customFormat="false" ht="15" hidden="false" customHeight="false" outlineLevel="0" collapsed="false">
      <c r="B30" s="3" t="s">
        <v>20</v>
      </c>
    </row>
    <row r="31" customFormat="false" ht="15" hidden="false" customHeight="false" outlineLevel="0" collapsed="false">
      <c r="B31" s="4" t="s">
        <v>21</v>
      </c>
    </row>
    <row r="33" customFormat="false" ht="15" hidden="false" customHeight="false" outlineLevel="0" collapsed="false">
      <c r="B33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1.75" hidden="false" customHeight="true" outlineLevel="0" collapsed="false">
      <c r="A4" s="7" t="s">
        <v>25</v>
      </c>
      <c r="B4" s="7"/>
    </row>
    <row r="5" customFormat="false" ht="15" hidden="false" customHeight="false" outlineLevel="0" collapsed="false">
      <c r="A5" s="8" t="s">
        <v>26</v>
      </c>
      <c r="B5" s="9" t="n">
        <v>10000000</v>
      </c>
    </row>
    <row r="6" customFormat="false" ht="15" hidden="false" customHeight="false" outlineLevel="0" collapsed="false">
      <c r="A6" s="8" t="s">
        <v>27</v>
      </c>
      <c r="B6" s="10" t="n">
        <v>2026</v>
      </c>
    </row>
    <row r="8" customFormat="false" ht="21.75" hidden="false" customHeight="true" outlineLevel="0" collapsed="false">
      <c r="A8" s="7" t="s">
        <v>28</v>
      </c>
      <c r="B8" s="7"/>
    </row>
    <row r="9" customFormat="false" ht="15" hidden="false" customHeight="false" outlineLevel="0" collapsed="false">
      <c r="A9" s="11" t="s">
        <v>29</v>
      </c>
      <c r="B9" s="11" t="s">
        <v>30</v>
      </c>
    </row>
    <row r="10" customFormat="false" ht="15" hidden="false" customHeight="false" outlineLevel="0" collapsed="false">
      <c r="A10" s="12" t="s">
        <v>31</v>
      </c>
      <c r="B10" s="13" t="n">
        <v>0.35</v>
      </c>
    </row>
    <row r="11" customFormat="false" ht="15" hidden="false" customHeight="false" outlineLevel="0" collapsed="false">
      <c r="A11" s="12" t="s">
        <v>32</v>
      </c>
      <c r="B11" s="13" t="n">
        <v>0.3</v>
      </c>
    </row>
    <row r="12" customFormat="false" ht="15" hidden="false" customHeight="false" outlineLevel="0" collapsed="false">
      <c r="A12" s="12" t="s">
        <v>33</v>
      </c>
      <c r="B12" s="13" t="n">
        <v>0.2</v>
      </c>
    </row>
    <row r="13" customFormat="false" ht="15" hidden="false" customHeight="false" outlineLevel="0" collapsed="false">
      <c r="A13" s="12" t="s">
        <v>34</v>
      </c>
      <c r="B13" s="13" t="n">
        <v>0.15</v>
      </c>
    </row>
    <row r="14" customFormat="false" ht="15" hidden="false" customHeight="false" outlineLevel="0" collapsed="false">
      <c r="A14" s="14" t="s">
        <v>35</v>
      </c>
      <c r="B14" s="15" t="n">
        <f aca="false">SUM(B10:B13)</f>
        <v>1</v>
      </c>
    </row>
    <row r="17" customFormat="false" ht="21.75" hidden="false" customHeight="true" outlineLevel="0" collapsed="false">
      <c r="A17" s="7" t="s">
        <v>36</v>
      </c>
      <c r="B17" s="7"/>
      <c r="C17" s="7"/>
      <c r="D17" s="7"/>
      <c r="E17" s="7"/>
    </row>
    <row r="18" customFormat="false" ht="23.85" hidden="false" customHeight="false" outlineLevel="0" collapsed="false">
      <c r="A18" s="11" t="s">
        <v>29</v>
      </c>
      <c r="B18" s="11" t="s">
        <v>37</v>
      </c>
      <c r="C18" s="11" t="s">
        <v>38</v>
      </c>
      <c r="D18" s="11" t="s">
        <v>39</v>
      </c>
      <c r="E18" s="11" t="s">
        <v>40</v>
      </c>
    </row>
    <row r="19" customFormat="false" ht="15" hidden="false" customHeight="false" outlineLevel="0" collapsed="false">
      <c r="A19" s="12" t="s">
        <v>31</v>
      </c>
      <c r="B19" s="13" t="n">
        <v>0.55</v>
      </c>
      <c r="C19" s="13" t="n">
        <v>0.85</v>
      </c>
      <c r="D19" s="16" t="n">
        <v>45</v>
      </c>
      <c r="E19" s="17" t="n">
        <v>8</v>
      </c>
    </row>
    <row r="20" customFormat="false" ht="15" hidden="false" customHeight="false" outlineLevel="0" collapsed="false">
      <c r="A20" s="12" t="s">
        <v>32</v>
      </c>
      <c r="B20" s="13" t="n">
        <v>0.6</v>
      </c>
      <c r="C20" s="13" t="n">
        <v>0.9</v>
      </c>
      <c r="D20" s="16" t="n">
        <v>50</v>
      </c>
      <c r="E20" s="17" t="n">
        <v>6</v>
      </c>
    </row>
    <row r="21" customFormat="false" ht="15" hidden="false" customHeight="false" outlineLevel="0" collapsed="false">
      <c r="A21" s="12" t="s">
        <v>33</v>
      </c>
      <c r="B21" s="13" t="n">
        <v>0.4</v>
      </c>
      <c r="C21" s="13" t="n">
        <v>0.7</v>
      </c>
      <c r="D21" s="16" t="n">
        <v>30</v>
      </c>
      <c r="E21" s="17" t="n">
        <v>12</v>
      </c>
    </row>
    <row r="22" customFormat="false" ht="15" hidden="false" customHeight="false" outlineLevel="0" collapsed="false">
      <c r="A22" s="12" t="s">
        <v>34</v>
      </c>
      <c r="B22" s="13" t="n">
        <v>0.5</v>
      </c>
      <c r="C22" s="13" t="n">
        <v>0.8</v>
      </c>
      <c r="D22" s="16" t="n">
        <v>40</v>
      </c>
      <c r="E22" s="17" t="n">
        <v>10</v>
      </c>
    </row>
    <row r="25" customFormat="false" ht="21.75" hidden="false" customHeight="true" outlineLevel="0" collapsed="false">
      <c r="A25" s="7" t="s">
        <v>41</v>
      </c>
      <c r="B25" s="7"/>
      <c r="C25" s="7"/>
    </row>
    <row r="26" customFormat="false" ht="15" hidden="false" customHeight="false" outlineLevel="0" collapsed="false">
      <c r="A26" s="11" t="s">
        <v>42</v>
      </c>
      <c r="B26" s="11" t="s">
        <v>43</v>
      </c>
      <c r="C26" s="11" t="s">
        <v>44</v>
      </c>
    </row>
    <row r="27" customFormat="false" ht="15" hidden="false" customHeight="false" outlineLevel="0" collapsed="false">
      <c r="A27" s="12" t="s">
        <v>45</v>
      </c>
      <c r="B27" s="18" t="n">
        <v>0.9</v>
      </c>
      <c r="C27" s="19" t="n">
        <v>31</v>
      </c>
    </row>
    <row r="28" customFormat="false" ht="15" hidden="false" customHeight="false" outlineLevel="0" collapsed="false">
      <c r="A28" s="12" t="s">
        <v>46</v>
      </c>
      <c r="B28" s="18" t="n">
        <v>0.88</v>
      </c>
      <c r="C28" s="19" t="n">
        <v>28</v>
      </c>
    </row>
    <row r="29" customFormat="false" ht="15" hidden="false" customHeight="false" outlineLevel="0" collapsed="false">
      <c r="A29" s="12" t="s">
        <v>47</v>
      </c>
      <c r="B29" s="18" t="n">
        <v>0.95</v>
      </c>
      <c r="C29" s="19" t="n">
        <v>31</v>
      </c>
    </row>
    <row r="30" customFormat="false" ht="15" hidden="false" customHeight="false" outlineLevel="0" collapsed="false">
      <c r="A30" s="12" t="s">
        <v>48</v>
      </c>
      <c r="B30" s="18" t="n">
        <v>0.92</v>
      </c>
      <c r="C30" s="19" t="n">
        <v>30</v>
      </c>
    </row>
    <row r="31" customFormat="false" ht="15" hidden="false" customHeight="false" outlineLevel="0" collapsed="false">
      <c r="A31" s="12" t="s">
        <v>49</v>
      </c>
      <c r="B31" s="18" t="n">
        <v>0.9</v>
      </c>
      <c r="C31" s="19" t="n">
        <v>31</v>
      </c>
    </row>
    <row r="32" customFormat="false" ht="15" hidden="false" customHeight="false" outlineLevel="0" collapsed="false">
      <c r="A32" s="12" t="s">
        <v>50</v>
      </c>
      <c r="B32" s="18" t="n">
        <v>0.8</v>
      </c>
      <c r="C32" s="19" t="n">
        <v>30</v>
      </c>
    </row>
    <row r="33" customFormat="false" ht="15" hidden="false" customHeight="false" outlineLevel="0" collapsed="false">
      <c r="A33" s="12" t="s">
        <v>51</v>
      </c>
      <c r="B33" s="18" t="n">
        <v>0.75</v>
      </c>
      <c r="C33" s="19" t="n">
        <v>31</v>
      </c>
    </row>
    <row r="34" customFormat="false" ht="15" hidden="false" customHeight="false" outlineLevel="0" collapsed="false">
      <c r="A34" s="12" t="s">
        <v>52</v>
      </c>
      <c r="B34" s="18" t="n">
        <v>0.8</v>
      </c>
      <c r="C34" s="19" t="n">
        <v>31</v>
      </c>
    </row>
    <row r="35" customFormat="false" ht="15" hidden="false" customHeight="false" outlineLevel="0" collapsed="false">
      <c r="A35" s="12" t="s">
        <v>53</v>
      </c>
      <c r="B35" s="18" t="n">
        <v>1.05</v>
      </c>
      <c r="C35" s="19" t="n">
        <v>30</v>
      </c>
    </row>
    <row r="36" customFormat="false" ht="15" hidden="false" customHeight="false" outlineLevel="0" collapsed="false">
      <c r="A36" s="12" t="s">
        <v>54</v>
      </c>
      <c r="B36" s="18" t="n">
        <v>1.15</v>
      </c>
      <c r="C36" s="19" t="n">
        <v>31</v>
      </c>
    </row>
    <row r="37" customFormat="false" ht="15" hidden="false" customHeight="false" outlineLevel="0" collapsed="false">
      <c r="A37" s="12" t="s">
        <v>55</v>
      </c>
      <c r="B37" s="18" t="n">
        <v>1.25</v>
      </c>
      <c r="C37" s="19" t="n">
        <v>30</v>
      </c>
    </row>
    <row r="38" customFormat="false" ht="15" hidden="false" customHeight="false" outlineLevel="0" collapsed="false">
      <c r="A38" s="12" t="s">
        <v>56</v>
      </c>
      <c r="B38" s="18" t="n">
        <v>1.35</v>
      </c>
      <c r="C38" s="19" t="n">
        <v>31</v>
      </c>
    </row>
    <row r="39" customFormat="false" ht="15" hidden="false" customHeight="false" outlineLevel="0" collapsed="false">
      <c r="A39" s="14" t="s">
        <v>35</v>
      </c>
      <c r="B39" s="20" t="n">
        <f aca="false">SUM(B27:B38)</f>
        <v>11.7</v>
      </c>
    </row>
  </sheetData>
  <mergeCells count="4">
    <mergeCell ref="A4:B4"/>
    <mergeCell ref="A8:B8"/>
    <mergeCell ref="A17:E17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15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4" min="13" style="0" width="10"/>
    <col collapsed="false" customWidth="true" hidden="false" outlineLevel="0" max="15" min="15" style="0" width="17"/>
    <col collapsed="false" customWidth="true" hidden="false" outlineLevel="0" max="16" min="16" style="0" width="15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11" t="s">
        <v>42</v>
      </c>
      <c r="B1" s="11" t="s">
        <v>29</v>
      </c>
      <c r="C1" s="11" t="s">
        <v>57</v>
      </c>
      <c r="D1" s="11" t="s">
        <v>58</v>
      </c>
      <c r="E1" s="11" t="s">
        <v>59</v>
      </c>
      <c r="F1" s="11" t="s">
        <v>37</v>
      </c>
      <c r="G1" s="11" t="s">
        <v>60</v>
      </c>
      <c r="H1" s="11" t="s">
        <v>61</v>
      </c>
      <c r="I1" s="11" t="s">
        <v>62</v>
      </c>
      <c r="J1" s="11" t="s">
        <v>38</v>
      </c>
      <c r="K1" s="11" t="s">
        <v>63</v>
      </c>
      <c r="L1" s="11" t="s">
        <v>64</v>
      </c>
      <c r="M1" s="11" t="s">
        <v>44</v>
      </c>
      <c r="N1" s="11" t="s">
        <v>65</v>
      </c>
      <c r="O1" s="11" t="s">
        <v>66</v>
      </c>
      <c r="P1" s="11" t="s">
        <v>67</v>
      </c>
      <c r="Q1" s="11" t="s">
        <v>68</v>
      </c>
    </row>
    <row r="2" customFormat="false" ht="15" hidden="false" customHeight="false" outlineLevel="0" collapsed="false">
      <c r="A2" s="12" t="s">
        <v>45</v>
      </c>
      <c r="B2" s="12" t="s">
        <v>31</v>
      </c>
      <c r="C2" s="21" t="n">
        <f aca="false">Assumptions!$B$5*Assumptions!$B$10*Assumptions!$B$27/Assumptions!$B$39</f>
        <v>269230.769230769</v>
      </c>
      <c r="D2" s="22" t="n">
        <f aca="false">C2*1.0279</f>
        <v>276742.307692308</v>
      </c>
      <c r="E2" s="23" t="n">
        <f aca="false">IFERROR(D2/C2,0)</f>
        <v>1.0279</v>
      </c>
      <c r="F2" s="23" t="n">
        <f aca="false">Assumptions!$B$19</f>
        <v>0.55</v>
      </c>
      <c r="G2" s="21" t="n">
        <f aca="false">D2*F2</f>
        <v>152208.269230769</v>
      </c>
      <c r="H2" s="21" t="n">
        <f aca="false">D2-G2</f>
        <v>124534.038461538</v>
      </c>
      <c r="I2" s="23" t="n">
        <f aca="false">IFERROR(H2/D2,0)</f>
        <v>0.45</v>
      </c>
      <c r="J2" s="23" t="n">
        <f aca="false">Assumptions!$C$19</f>
        <v>0.85</v>
      </c>
      <c r="K2" s="21" t="n">
        <f aca="false">D2*J2</f>
        <v>235230.961538462</v>
      </c>
      <c r="L2" s="22" t="n">
        <f aca="false">(Assumptions!$D$19/Assumptions!$C$27)*K2*0.8575</f>
        <v>292805.636398883</v>
      </c>
      <c r="M2" s="12" t="n">
        <f aca="false">Assumptions!$C$27</f>
        <v>31</v>
      </c>
      <c r="N2" s="24" t="n">
        <f aca="false">IFERROR((L2/K2)*M2,0)</f>
        <v>38.5875</v>
      </c>
      <c r="O2" s="22" t="n">
        <f aca="false">IFERROR((G2*12)/Assumptions!$E$19*0.946,0)</f>
        <v>215983.534038462</v>
      </c>
      <c r="P2" s="25" t="n">
        <f aca="false">IFERROR((G2*12)/O2,0)</f>
        <v>8.45665961945032</v>
      </c>
      <c r="Q2" s="24" t="n">
        <f aca="false">IFERROR(365/P2,0)</f>
        <v>43.16125</v>
      </c>
    </row>
    <row r="3" customFormat="false" ht="15" hidden="false" customHeight="false" outlineLevel="0" collapsed="false">
      <c r="A3" s="12" t="s">
        <v>45</v>
      </c>
      <c r="B3" s="12" t="s">
        <v>32</v>
      </c>
      <c r="C3" s="21" t="n">
        <f aca="false">Assumptions!$B$5*Assumptions!$B$11*Assumptions!$B$27/Assumptions!$B$39</f>
        <v>230769.230769231</v>
      </c>
      <c r="D3" s="22" t="n">
        <f aca="false">C3*0.9446</f>
        <v>217984.615384615</v>
      </c>
      <c r="E3" s="23" t="n">
        <f aca="false">IFERROR(D3/C3,0)</f>
        <v>0.9446</v>
      </c>
      <c r="F3" s="23" t="n">
        <f aca="false">Assumptions!$B$20</f>
        <v>0.6</v>
      </c>
      <c r="G3" s="21" t="n">
        <f aca="false">D3*F3</f>
        <v>130790.769230769</v>
      </c>
      <c r="H3" s="21" t="n">
        <f aca="false">D3-G3</f>
        <v>87193.8461538462</v>
      </c>
      <c r="I3" s="23" t="n">
        <f aca="false">IFERROR(H3/D3,0)</f>
        <v>0.4</v>
      </c>
      <c r="J3" s="23" t="n">
        <f aca="false">Assumptions!$C$20</f>
        <v>0.9</v>
      </c>
      <c r="K3" s="21" t="n">
        <f aca="false">D3*J3</f>
        <v>196186.153846154</v>
      </c>
      <c r="L3" s="22" t="n">
        <f aca="false">(Assumptions!$D$20/Assumptions!$C$27)*K3*1.0709</f>
        <v>338864.116377171</v>
      </c>
      <c r="M3" s="12" t="n">
        <f aca="false">Assumptions!$C$27</f>
        <v>31</v>
      </c>
      <c r="N3" s="24" t="n">
        <f aca="false">IFERROR((L3/K3)*M3,0)</f>
        <v>53.545</v>
      </c>
      <c r="O3" s="22" t="n">
        <f aca="false">IFERROR((G3*12)/Assumptions!$E$20*1.0424,0)</f>
        <v>272672.595692308</v>
      </c>
      <c r="P3" s="25" t="n">
        <f aca="false">IFERROR((G3*12)/O3,0)</f>
        <v>5.75594781273983</v>
      </c>
      <c r="Q3" s="24" t="n">
        <f aca="false">IFERROR(365/P3,0)</f>
        <v>63.4126666666667</v>
      </c>
    </row>
    <row r="4" customFormat="false" ht="15" hidden="false" customHeight="false" outlineLevel="0" collapsed="false">
      <c r="A4" s="12" t="s">
        <v>45</v>
      </c>
      <c r="B4" s="12" t="s">
        <v>33</v>
      </c>
      <c r="C4" s="21" t="n">
        <f aca="false">Assumptions!$B$5*Assumptions!$B$12*Assumptions!$B$27/Assumptions!$B$39</f>
        <v>153846.153846154</v>
      </c>
      <c r="D4" s="22" t="n">
        <f aca="false">C4*1.0784</f>
        <v>165907.692307692</v>
      </c>
      <c r="E4" s="23" t="n">
        <f aca="false">IFERROR(D4/C4,0)</f>
        <v>1.0784</v>
      </c>
      <c r="F4" s="23" t="n">
        <f aca="false">Assumptions!$B$21</f>
        <v>0.4</v>
      </c>
      <c r="G4" s="21" t="n">
        <f aca="false">D4*F4</f>
        <v>66363.0769230769</v>
      </c>
      <c r="H4" s="21" t="n">
        <f aca="false">D4-G4</f>
        <v>99544.6153846154</v>
      </c>
      <c r="I4" s="23" t="n">
        <f aca="false">IFERROR(H4/D4,0)</f>
        <v>0.6</v>
      </c>
      <c r="J4" s="23" t="n">
        <f aca="false">Assumptions!$C$21</f>
        <v>0.7</v>
      </c>
      <c r="K4" s="21" t="n">
        <f aca="false">D4*J4</f>
        <v>116135.384615385</v>
      </c>
      <c r="L4" s="22" t="n">
        <f aca="false">(Assumptions!$D$21/Assumptions!$C$27)*K4*0.8761</f>
        <v>98464.0746401985</v>
      </c>
      <c r="M4" s="12" t="n">
        <f aca="false">Assumptions!$C$27</f>
        <v>31</v>
      </c>
      <c r="N4" s="24" t="n">
        <f aca="false">IFERROR((L4/K4)*M4,0)</f>
        <v>26.283</v>
      </c>
      <c r="O4" s="22" t="n">
        <f aca="false">IFERROR((G4*12)/Assumptions!$E$21*0.9813,0)</f>
        <v>65122.0873846154</v>
      </c>
      <c r="P4" s="25" t="n">
        <f aca="false">IFERROR((G4*12)/O4,0)</f>
        <v>12.2286762457964</v>
      </c>
      <c r="Q4" s="24" t="n">
        <f aca="false">IFERROR(365/P4,0)</f>
        <v>29.847875</v>
      </c>
    </row>
    <row r="5" customFormat="false" ht="15" hidden="false" customHeight="false" outlineLevel="0" collapsed="false">
      <c r="A5" s="12" t="s">
        <v>45</v>
      </c>
      <c r="B5" s="12" t="s">
        <v>34</v>
      </c>
      <c r="C5" s="21" t="n">
        <f aca="false">Assumptions!$B$5*Assumptions!$B$13*Assumptions!$B$27/Assumptions!$B$39</f>
        <v>115384.615384615</v>
      </c>
      <c r="D5" s="22" t="n">
        <f aca="false">C5*0.906</f>
        <v>104538.461538462</v>
      </c>
      <c r="E5" s="23" t="n">
        <f aca="false">IFERROR(D5/C5,0)</f>
        <v>0.906</v>
      </c>
      <c r="F5" s="23" t="n">
        <f aca="false">Assumptions!$B$22</f>
        <v>0.5</v>
      </c>
      <c r="G5" s="21" t="n">
        <f aca="false">D5*F5</f>
        <v>52269.2307692308</v>
      </c>
      <c r="H5" s="21" t="n">
        <f aca="false">D5-G5</f>
        <v>52269.2307692308</v>
      </c>
      <c r="I5" s="23" t="n">
        <f aca="false">IFERROR(H5/D5,0)</f>
        <v>0.5</v>
      </c>
      <c r="J5" s="23" t="n">
        <f aca="false">Assumptions!$C$22</f>
        <v>0.8</v>
      </c>
      <c r="K5" s="21" t="n">
        <f aca="false">D5*J5</f>
        <v>83630.7692307693</v>
      </c>
      <c r="L5" s="22" t="n">
        <f aca="false">(Assumptions!$D$22/Assumptions!$C$27)*K5*0.9156</f>
        <v>98803.0094292804</v>
      </c>
      <c r="M5" s="12" t="n">
        <f aca="false">Assumptions!$C$27</f>
        <v>31</v>
      </c>
      <c r="N5" s="24" t="n">
        <f aca="false">IFERROR((L5/K5)*M5,0)</f>
        <v>36.624</v>
      </c>
      <c r="O5" s="22" t="n">
        <f aca="false">IFERROR((G5*12)/Assumptions!$E$22*1.0013,0)</f>
        <v>62804.6169230769</v>
      </c>
      <c r="P5" s="25" t="n">
        <f aca="false">IFERROR((G5*12)/O5,0)</f>
        <v>9.98701687805852</v>
      </c>
      <c r="Q5" s="24" t="n">
        <f aca="false">IFERROR(365/P5,0)</f>
        <v>36.54745</v>
      </c>
    </row>
    <row r="6" customFormat="false" ht="15" hidden="false" customHeight="false" outlineLevel="0" collapsed="false">
      <c r="A6" s="26" t="s">
        <v>46</v>
      </c>
      <c r="B6" s="26" t="s">
        <v>31</v>
      </c>
      <c r="C6" s="27" t="n">
        <f aca="false">Assumptions!$B$5*Assumptions!$B$10*Assumptions!$B$28/Assumptions!$B$39</f>
        <v>263247.863247863</v>
      </c>
      <c r="D6" s="28" t="n">
        <f aca="false">C6*0.9041</f>
        <v>238002.393162393</v>
      </c>
      <c r="E6" s="29" t="n">
        <f aca="false">IFERROR(D6/C6,0)</f>
        <v>0.9041</v>
      </c>
      <c r="F6" s="29" t="n">
        <f aca="false">Assumptions!$B$19</f>
        <v>0.55</v>
      </c>
      <c r="G6" s="27" t="n">
        <f aca="false">D6*F6</f>
        <v>130901.316239316</v>
      </c>
      <c r="H6" s="27" t="n">
        <f aca="false">D6-G6</f>
        <v>107101.076923077</v>
      </c>
      <c r="I6" s="29" t="n">
        <f aca="false">IFERROR(H6/D6,0)</f>
        <v>0.45</v>
      </c>
      <c r="J6" s="29" t="n">
        <f aca="false">Assumptions!$C$19</f>
        <v>0.85</v>
      </c>
      <c r="K6" s="27" t="n">
        <f aca="false">D6*J6</f>
        <v>202302.034188034</v>
      </c>
      <c r="L6" s="28" t="n">
        <f aca="false">(Assumptions!$D$19/Assumptions!$C$28)*K6*0.9097</f>
        <v>295769.186519231</v>
      </c>
      <c r="M6" s="26" t="n">
        <f aca="false">Assumptions!$C$28</f>
        <v>28</v>
      </c>
      <c r="N6" s="30" t="n">
        <f aca="false">IFERROR((L6/K6)*M6,0)</f>
        <v>40.9365</v>
      </c>
      <c r="O6" s="28" t="n">
        <f aca="false">IFERROR((G6*12)/Assumptions!$E$19*1.036,0)</f>
        <v>203420.645435897</v>
      </c>
      <c r="P6" s="31" t="n">
        <f aca="false">IFERROR((G6*12)/O6,0)</f>
        <v>7.72200772200772</v>
      </c>
      <c r="Q6" s="30" t="n">
        <f aca="false">IFERROR(365/P6,0)</f>
        <v>47.2675</v>
      </c>
    </row>
    <row r="7" customFormat="false" ht="15" hidden="false" customHeight="false" outlineLevel="0" collapsed="false">
      <c r="A7" s="26" t="s">
        <v>46</v>
      </c>
      <c r="B7" s="26" t="s">
        <v>32</v>
      </c>
      <c r="C7" s="27" t="n">
        <f aca="false">Assumptions!$B$5*Assumptions!$B$11*Assumptions!$B$28/Assumptions!$B$39</f>
        <v>225641.025641026</v>
      </c>
      <c r="D7" s="28" t="n">
        <f aca="false">C7*1.0085</f>
        <v>227558.974358974</v>
      </c>
      <c r="E7" s="29" t="n">
        <f aca="false">IFERROR(D7/C7,0)</f>
        <v>1.0085</v>
      </c>
      <c r="F7" s="29" t="n">
        <f aca="false">Assumptions!$B$20</f>
        <v>0.6</v>
      </c>
      <c r="G7" s="27" t="n">
        <f aca="false">D7*F7</f>
        <v>136535.384615385</v>
      </c>
      <c r="H7" s="27" t="n">
        <f aca="false">D7-G7</f>
        <v>91023.5897435898</v>
      </c>
      <c r="I7" s="29" t="n">
        <f aca="false">IFERROR(H7/D7,0)</f>
        <v>0.4</v>
      </c>
      <c r="J7" s="29" t="n">
        <f aca="false">Assumptions!$C$20</f>
        <v>0.9</v>
      </c>
      <c r="K7" s="27" t="n">
        <f aca="false">D7*J7</f>
        <v>204803.076923077</v>
      </c>
      <c r="L7" s="28" t="n">
        <f aca="false">(Assumptions!$D$20/Assumptions!$C$28)*K7*0.9161</f>
        <v>335035.890659341</v>
      </c>
      <c r="M7" s="26" t="n">
        <f aca="false">Assumptions!$C$28</f>
        <v>28</v>
      </c>
      <c r="N7" s="30" t="n">
        <f aca="false">IFERROR((L7/K7)*M7,0)</f>
        <v>45.805</v>
      </c>
      <c r="O7" s="28" t="n">
        <f aca="false">IFERROR((G7*12)/Assumptions!$E$20*1.0214,0)</f>
        <v>278914.483692308</v>
      </c>
      <c r="P7" s="31" t="n">
        <f aca="false">IFERROR((G7*12)/O7,0)</f>
        <v>5.87429018993538</v>
      </c>
      <c r="Q7" s="30" t="n">
        <f aca="false">IFERROR(365/P7,0)</f>
        <v>62.1351666666667</v>
      </c>
    </row>
    <row r="8" customFormat="false" ht="15" hidden="false" customHeight="false" outlineLevel="0" collapsed="false">
      <c r="A8" s="26" t="s">
        <v>46</v>
      </c>
      <c r="B8" s="26" t="s">
        <v>33</v>
      </c>
      <c r="C8" s="27" t="n">
        <f aca="false">Assumptions!$B$5*Assumptions!$B$12*Assumptions!$B$28/Assumptions!$B$39</f>
        <v>150427.35042735</v>
      </c>
      <c r="D8" s="28" t="n">
        <f aca="false">C8*1.0624</f>
        <v>159814.017094017</v>
      </c>
      <c r="E8" s="29" t="n">
        <f aca="false">IFERROR(D8/C8,0)</f>
        <v>1.0624</v>
      </c>
      <c r="F8" s="29" t="n">
        <f aca="false">Assumptions!$B$21</f>
        <v>0.4</v>
      </c>
      <c r="G8" s="27" t="n">
        <f aca="false">D8*F8</f>
        <v>63925.6068376068</v>
      </c>
      <c r="H8" s="27" t="n">
        <f aca="false">D8-G8</f>
        <v>95888.4102564103</v>
      </c>
      <c r="I8" s="29" t="n">
        <f aca="false">IFERROR(H8/D8,0)</f>
        <v>0.6</v>
      </c>
      <c r="J8" s="29" t="n">
        <f aca="false">Assumptions!$C$21</f>
        <v>0.7</v>
      </c>
      <c r="K8" s="27" t="n">
        <f aca="false">D8*J8</f>
        <v>111869.811965812</v>
      </c>
      <c r="L8" s="28" t="n">
        <f aca="false">(Assumptions!$D$21/Assumptions!$C$28)*K8*0.8519</f>
        <v>102109.170871795</v>
      </c>
      <c r="M8" s="26" t="n">
        <f aca="false">Assumptions!$C$28</f>
        <v>28</v>
      </c>
      <c r="N8" s="30" t="n">
        <f aca="false">IFERROR((L8/K8)*M8,0)</f>
        <v>25.557</v>
      </c>
      <c r="O8" s="28" t="n">
        <f aca="false">IFERROR((G8*12)/Assumptions!$E$21*1.0734,0)</f>
        <v>68617.7463794872</v>
      </c>
      <c r="P8" s="31" t="n">
        <f aca="false">IFERROR((G8*12)/O8,0)</f>
        <v>11.1794298490777</v>
      </c>
      <c r="Q8" s="30" t="n">
        <f aca="false">IFERROR(365/P8,0)</f>
        <v>32.64925</v>
      </c>
    </row>
    <row r="9" customFormat="false" ht="15" hidden="false" customHeight="false" outlineLevel="0" collapsed="false">
      <c r="A9" s="26" t="s">
        <v>46</v>
      </c>
      <c r="B9" s="26" t="s">
        <v>34</v>
      </c>
      <c r="C9" s="27" t="n">
        <f aca="false">Assumptions!$B$5*Assumptions!$B$13*Assumptions!$B$28/Assumptions!$B$39</f>
        <v>112820.512820513</v>
      </c>
      <c r="D9" s="28" t="n">
        <f aca="false">C9*1.041</f>
        <v>117446.153846154</v>
      </c>
      <c r="E9" s="29" t="n">
        <f aca="false">IFERROR(D9/C9,0)</f>
        <v>1.041</v>
      </c>
      <c r="F9" s="29" t="n">
        <f aca="false">Assumptions!$B$22</f>
        <v>0.5</v>
      </c>
      <c r="G9" s="27" t="n">
        <f aca="false">D9*F9</f>
        <v>58723.0769230769</v>
      </c>
      <c r="H9" s="27" t="n">
        <f aca="false">D9-G9</f>
        <v>58723.0769230769</v>
      </c>
      <c r="I9" s="29" t="n">
        <f aca="false">IFERROR(H9/D9,0)</f>
        <v>0.5</v>
      </c>
      <c r="J9" s="29" t="n">
        <f aca="false">Assumptions!$C$22</f>
        <v>0.8</v>
      </c>
      <c r="K9" s="27" t="n">
        <f aca="false">D9*J9</f>
        <v>93956.9230769231</v>
      </c>
      <c r="L9" s="28" t="n">
        <f aca="false">(Assumptions!$D$22/Assumptions!$C$28)*K9*0.9521</f>
        <v>127794.837802198</v>
      </c>
      <c r="M9" s="26" t="n">
        <f aca="false">Assumptions!$C$28</f>
        <v>28</v>
      </c>
      <c r="N9" s="30" t="n">
        <f aca="false">IFERROR((L9/K9)*M9,0)</f>
        <v>38.084</v>
      </c>
      <c r="O9" s="28" t="n">
        <f aca="false">IFERROR((G9*12)/Assumptions!$E$22*0.9173,0)</f>
        <v>64640.0141538462</v>
      </c>
      <c r="P9" s="31" t="n">
        <f aca="false">IFERROR((G9*12)/O9,0)</f>
        <v>10.901558922926</v>
      </c>
      <c r="Q9" s="30" t="n">
        <f aca="false">IFERROR(365/P9,0)</f>
        <v>33.48145</v>
      </c>
    </row>
    <row r="10" customFormat="false" ht="15" hidden="false" customHeight="false" outlineLevel="0" collapsed="false">
      <c r="A10" s="12" t="s">
        <v>47</v>
      </c>
      <c r="B10" s="12" t="s">
        <v>31</v>
      </c>
      <c r="C10" s="21" t="n">
        <f aca="false">Assumptions!$B$5*Assumptions!$B$10*Assumptions!$B$29/Assumptions!$B$39</f>
        <v>284188.034188034</v>
      </c>
      <c r="D10" s="22" t="n">
        <f aca="false">C10*1.0885</f>
        <v>309338.675213675</v>
      </c>
      <c r="E10" s="23" t="n">
        <f aca="false">IFERROR(D10/C10,0)</f>
        <v>1.0885</v>
      </c>
      <c r="F10" s="23" t="n">
        <f aca="false">Assumptions!$B$19</f>
        <v>0.55</v>
      </c>
      <c r="G10" s="21" t="n">
        <f aca="false">D10*F10</f>
        <v>170136.271367521</v>
      </c>
      <c r="H10" s="21" t="n">
        <f aca="false">D10-G10</f>
        <v>139202.403846154</v>
      </c>
      <c r="I10" s="23" t="n">
        <f aca="false">IFERROR(H10/D10,0)</f>
        <v>0.45</v>
      </c>
      <c r="J10" s="23" t="n">
        <f aca="false">Assumptions!$C$19</f>
        <v>0.85</v>
      </c>
      <c r="K10" s="21" t="n">
        <f aca="false">D10*J10</f>
        <v>262937.873931624</v>
      </c>
      <c r="L10" s="22" t="n">
        <f aca="false">(Assumptions!$D$19/Assumptions!$C$29)*K10*0.951</f>
        <v>362981.494029156</v>
      </c>
      <c r="M10" s="12" t="n">
        <f aca="false">Assumptions!$C$29</f>
        <v>31</v>
      </c>
      <c r="N10" s="24" t="n">
        <f aca="false">IFERROR((L10/K10)*M10,0)</f>
        <v>42.795</v>
      </c>
      <c r="O10" s="22" t="n">
        <f aca="false">IFERROR((G10*12)/Assumptions!$E$19*0.9023,0)</f>
        <v>230270.936482372</v>
      </c>
      <c r="P10" s="25" t="n">
        <f aca="false">IFERROR((G10*12)/O10,0)</f>
        <v>8.8662307436551</v>
      </c>
      <c r="Q10" s="24" t="n">
        <f aca="false">IFERROR(365/P10,0)</f>
        <v>41.1674375</v>
      </c>
    </row>
    <row r="11" customFormat="false" ht="15" hidden="false" customHeight="false" outlineLevel="0" collapsed="false">
      <c r="A11" s="12" t="s">
        <v>47</v>
      </c>
      <c r="B11" s="12" t="s">
        <v>32</v>
      </c>
      <c r="C11" s="21" t="n">
        <f aca="false">Assumptions!$B$5*Assumptions!$B$11*Assumptions!$B$29/Assumptions!$B$39</f>
        <v>243589.743589744</v>
      </c>
      <c r="D11" s="22" t="n">
        <f aca="false">C11*0.9185</f>
        <v>223737.17948718</v>
      </c>
      <c r="E11" s="23" t="n">
        <f aca="false">IFERROR(D11/C11,0)</f>
        <v>0.9185</v>
      </c>
      <c r="F11" s="23" t="n">
        <f aca="false">Assumptions!$B$20</f>
        <v>0.6</v>
      </c>
      <c r="G11" s="21" t="n">
        <f aca="false">D11*F11</f>
        <v>134242.307692308</v>
      </c>
      <c r="H11" s="21" t="n">
        <f aca="false">D11-G11</f>
        <v>89494.8717948718</v>
      </c>
      <c r="I11" s="23" t="n">
        <f aca="false">IFERROR(H11/D11,0)</f>
        <v>0.4</v>
      </c>
      <c r="J11" s="23" t="n">
        <f aca="false">Assumptions!$C$20</f>
        <v>0.9</v>
      </c>
      <c r="K11" s="21" t="n">
        <f aca="false">D11*J11</f>
        <v>201363.461538462</v>
      </c>
      <c r="L11" s="22" t="n">
        <f aca="false">(Assumptions!$D$20/Assumptions!$C$29)*K11*1.1042</f>
        <v>358621.829404467</v>
      </c>
      <c r="M11" s="12" t="n">
        <f aca="false">Assumptions!$C$29</f>
        <v>31</v>
      </c>
      <c r="N11" s="24" t="n">
        <f aca="false">IFERROR((L11/K11)*M11,0)</f>
        <v>55.21</v>
      </c>
      <c r="O11" s="22" t="n">
        <f aca="false">IFERROR((G11*12)/Assumptions!$E$20*1.0249,0)</f>
        <v>275169.882307692</v>
      </c>
      <c r="P11" s="25" t="n">
        <f aca="false">IFERROR((G11*12)/O11,0)</f>
        <v>5.85422968094448</v>
      </c>
      <c r="Q11" s="24" t="n">
        <f aca="false">IFERROR(365/P11,0)</f>
        <v>62.3480833333333</v>
      </c>
    </row>
    <row r="12" customFormat="false" ht="15" hidden="false" customHeight="false" outlineLevel="0" collapsed="false">
      <c r="A12" s="12" t="s">
        <v>47</v>
      </c>
      <c r="B12" s="12" t="s">
        <v>33</v>
      </c>
      <c r="C12" s="21" t="n">
        <f aca="false">Assumptions!$B$5*Assumptions!$B$12*Assumptions!$B$29/Assumptions!$B$39</f>
        <v>162393.162393162</v>
      </c>
      <c r="D12" s="22" t="n">
        <f aca="false">C12*1.0624</f>
        <v>172526.495726496</v>
      </c>
      <c r="E12" s="23" t="n">
        <f aca="false">IFERROR(D12/C12,0)</f>
        <v>1.0624</v>
      </c>
      <c r="F12" s="23" t="n">
        <f aca="false">Assumptions!$B$21</f>
        <v>0.4</v>
      </c>
      <c r="G12" s="21" t="n">
        <f aca="false">D12*F12</f>
        <v>69010.5982905983</v>
      </c>
      <c r="H12" s="21" t="n">
        <f aca="false">D12-G12</f>
        <v>103515.897435897</v>
      </c>
      <c r="I12" s="23" t="n">
        <f aca="false">IFERROR(H12/D12,0)</f>
        <v>0.6</v>
      </c>
      <c r="J12" s="23" t="n">
        <f aca="false">Assumptions!$C$21</f>
        <v>0.7</v>
      </c>
      <c r="K12" s="21" t="n">
        <f aca="false">D12*J12</f>
        <v>120768.547008547</v>
      </c>
      <c r="L12" s="22" t="n">
        <f aca="false">(Assumptions!$D$21/Assumptions!$C$29)*K12*1.0689</f>
        <v>124925.32248139</v>
      </c>
      <c r="M12" s="12" t="n">
        <f aca="false">Assumptions!$C$29</f>
        <v>31</v>
      </c>
      <c r="N12" s="24" t="n">
        <f aca="false">IFERROR((L12/K12)*M12,0)</f>
        <v>32.067</v>
      </c>
      <c r="O12" s="22" t="n">
        <f aca="false">IFERROR((G12*12)/Assumptions!$E$21*1.0087,0)</f>
        <v>69610.9904957265</v>
      </c>
      <c r="P12" s="25" t="n">
        <f aca="false">IFERROR((G12*12)/O12,0)</f>
        <v>11.8965004461188</v>
      </c>
      <c r="Q12" s="24" t="n">
        <f aca="false">IFERROR(365/P12,0)</f>
        <v>30.6812916666667</v>
      </c>
    </row>
    <row r="13" customFormat="false" ht="15" hidden="false" customHeight="false" outlineLevel="0" collapsed="false">
      <c r="A13" s="12" t="s">
        <v>47</v>
      </c>
      <c r="B13" s="12" t="s">
        <v>34</v>
      </c>
      <c r="C13" s="21" t="n">
        <f aca="false">Assumptions!$B$5*Assumptions!$B$13*Assumptions!$B$29/Assumptions!$B$39</f>
        <v>121794.871794872</v>
      </c>
      <c r="D13" s="22" t="n">
        <f aca="false">C13*1.0976</f>
        <v>133682.051282051</v>
      </c>
      <c r="E13" s="23" t="n">
        <f aca="false">IFERROR(D13/C13,0)</f>
        <v>1.0976</v>
      </c>
      <c r="F13" s="23" t="n">
        <f aca="false">Assumptions!$B$22</f>
        <v>0.5</v>
      </c>
      <c r="G13" s="21" t="n">
        <f aca="false">D13*F13</f>
        <v>66841.0256410256</v>
      </c>
      <c r="H13" s="21" t="n">
        <f aca="false">D13-G13</f>
        <v>66841.0256410256</v>
      </c>
      <c r="I13" s="23" t="n">
        <f aca="false">IFERROR(H13/D13,0)</f>
        <v>0.5</v>
      </c>
      <c r="J13" s="23" t="n">
        <f aca="false">Assumptions!$C$22</f>
        <v>0.8</v>
      </c>
      <c r="K13" s="21" t="n">
        <f aca="false">D13*J13</f>
        <v>106945.641025641</v>
      </c>
      <c r="L13" s="22" t="n">
        <f aca="false">(Assumptions!$D$22/Assumptions!$C$29)*K13*0.9636</f>
        <v>132971.380248139</v>
      </c>
      <c r="M13" s="12" t="n">
        <f aca="false">Assumptions!$C$29</f>
        <v>31</v>
      </c>
      <c r="N13" s="24" t="n">
        <f aca="false">IFERROR((L13/K13)*M13,0)</f>
        <v>38.544</v>
      </c>
      <c r="O13" s="22" t="n">
        <f aca="false">IFERROR((G13*12)/Assumptions!$E$22*1.0125,0)</f>
        <v>81211.8461538462</v>
      </c>
      <c r="P13" s="25" t="n">
        <f aca="false">IFERROR((G13*12)/O13,0)</f>
        <v>9.87654320987654</v>
      </c>
      <c r="Q13" s="24" t="n">
        <f aca="false">IFERROR(365/P13,0)</f>
        <v>36.95625</v>
      </c>
    </row>
    <row r="14" customFormat="false" ht="15" hidden="false" customHeight="false" outlineLevel="0" collapsed="false">
      <c r="A14" s="26" t="s">
        <v>48</v>
      </c>
      <c r="B14" s="26" t="s">
        <v>31</v>
      </c>
      <c r="C14" s="27" t="n">
        <f aca="false">Assumptions!$B$5*Assumptions!$B$10*Assumptions!$B$30/Assumptions!$B$39</f>
        <v>275213.675213675</v>
      </c>
      <c r="D14" s="28" t="n">
        <f aca="false">C14*1.0615</f>
        <v>292139.316239316</v>
      </c>
      <c r="E14" s="29" t="n">
        <f aca="false">IFERROR(D14/C14,0)</f>
        <v>1.0615</v>
      </c>
      <c r="F14" s="29" t="n">
        <f aca="false">Assumptions!$B$19</f>
        <v>0.55</v>
      </c>
      <c r="G14" s="27" t="n">
        <f aca="false">D14*F14</f>
        <v>160676.623931624</v>
      </c>
      <c r="H14" s="27" t="n">
        <f aca="false">D14-G14</f>
        <v>131462.692307692</v>
      </c>
      <c r="I14" s="29" t="n">
        <f aca="false">IFERROR(H14/D14,0)</f>
        <v>0.45</v>
      </c>
      <c r="J14" s="29" t="n">
        <f aca="false">Assumptions!$C$19</f>
        <v>0.85</v>
      </c>
      <c r="K14" s="27" t="n">
        <f aca="false">D14*J14</f>
        <v>248318.418803419</v>
      </c>
      <c r="L14" s="28" t="n">
        <f aca="false">(Assumptions!$D$19/Assumptions!$C$30)*K14*1.0356</f>
        <v>385737.831769231</v>
      </c>
      <c r="M14" s="26" t="n">
        <f aca="false">Assumptions!$C$30</f>
        <v>30</v>
      </c>
      <c r="N14" s="30" t="n">
        <f aca="false">IFERROR((L14/K14)*M14,0)</f>
        <v>46.602</v>
      </c>
      <c r="O14" s="28" t="n">
        <f aca="false">IFERROR((G14*12)/Assumptions!$E$19*1.0868,0)</f>
        <v>261935.032333333</v>
      </c>
      <c r="P14" s="31" t="n">
        <f aca="false">IFERROR((G14*12)/O14,0)</f>
        <v>7.36105999263894</v>
      </c>
      <c r="Q14" s="30" t="n">
        <f aca="false">IFERROR(365/P14,0)</f>
        <v>49.58525</v>
      </c>
    </row>
    <row r="15" customFormat="false" ht="15" hidden="false" customHeight="false" outlineLevel="0" collapsed="false">
      <c r="A15" s="26" t="s">
        <v>48</v>
      </c>
      <c r="B15" s="26" t="s">
        <v>32</v>
      </c>
      <c r="C15" s="27" t="n">
        <f aca="false">Assumptions!$B$5*Assumptions!$B$11*Assumptions!$B$30/Assumptions!$B$39</f>
        <v>235897.435897436</v>
      </c>
      <c r="D15" s="28" t="n">
        <f aca="false">C15*1.0141</f>
        <v>239223.58974359</v>
      </c>
      <c r="E15" s="29" t="n">
        <f aca="false">IFERROR(D15/C15,0)</f>
        <v>1.0141</v>
      </c>
      <c r="F15" s="29" t="n">
        <f aca="false">Assumptions!$B$20</f>
        <v>0.6</v>
      </c>
      <c r="G15" s="27" t="n">
        <f aca="false">D15*F15</f>
        <v>143534.153846154</v>
      </c>
      <c r="H15" s="27" t="n">
        <f aca="false">D15-G15</f>
        <v>95689.4358974359</v>
      </c>
      <c r="I15" s="29" t="n">
        <f aca="false">IFERROR(H15/D15,0)</f>
        <v>0.4</v>
      </c>
      <c r="J15" s="29" t="n">
        <f aca="false">Assumptions!$C$20</f>
        <v>0.9</v>
      </c>
      <c r="K15" s="27" t="n">
        <f aca="false">D15*J15</f>
        <v>215301.230769231</v>
      </c>
      <c r="L15" s="28" t="n">
        <f aca="false">(Assumptions!$D$20/Assumptions!$C$30)*K15*1.0614</f>
        <v>380867.877230769</v>
      </c>
      <c r="M15" s="26" t="n">
        <f aca="false">Assumptions!$C$30</f>
        <v>30</v>
      </c>
      <c r="N15" s="30" t="n">
        <f aca="false">IFERROR((L15/K15)*M15,0)</f>
        <v>53.07</v>
      </c>
      <c r="O15" s="28" t="n">
        <f aca="false">IFERROR((G15*12)/Assumptions!$E$20*0.891,0)</f>
        <v>255777.862153846</v>
      </c>
      <c r="P15" s="31" t="n">
        <f aca="false">IFERROR((G15*12)/O15,0)</f>
        <v>6.73400673400673</v>
      </c>
      <c r="Q15" s="30" t="n">
        <f aca="false">IFERROR(365/P15,0)</f>
        <v>54.2025</v>
      </c>
    </row>
    <row r="16" customFormat="false" ht="15" hidden="false" customHeight="false" outlineLevel="0" collapsed="false">
      <c r="A16" s="26" t="s">
        <v>48</v>
      </c>
      <c r="B16" s="26" t="s">
        <v>33</v>
      </c>
      <c r="C16" s="27" t="n">
        <f aca="false">Assumptions!$B$5*Assumptions!$B$12*Assumptions!$B$30/Assumptions!$B$39</f>
        <v>157264.957264957</v>
      </c>
      <c r="D16" s="28" t="n">
        <f aca="false">C16*0.9469</f>
        <v>148914.188034188</v>
      </c>
      <c r="E16" s="29" t="n">
        <f aca="false">IFERROR(D16/C16,0)</f>
        <v>0.9469</v>
      </c>
      <c r="F16" s="29" t="n">
        <f aca="false">Assumptions!$B$21</f>
        <v>0.4</v>
      </c>
      <c r="G16" s="27" t="n">
        <f aca="false">D16*F16</f>
        <v>59565.6752136752</v>
      </c>
      <c r="H16" s="27" t="n">
        <f aca="false">D16-G16</f>
        <v>89348.5128205128</v>
      </c>
      <c r="I16" s="29" t="n">
        <f aca="false">IFERROR(H16/D16,0)</f>
        <v>0.6</v>
      </c>
      <c r="J16" s="29" t="n">
        <f aca="false">Assumptions!$C$21</f>
        <v>0.7</v>
      </c>
      <c r="K16" s="27" t="n">
        <f aca="false">D16*J16</f>
        <v>104239.931623932</v>
      </c>
      <c r="L16" s="28" t="n">
        <f aca="false">(Assumptions!$D$21/Assumptions!$C$30)*K16*0.9368</f>
        <v>97651.9679452991</v>
      </c>
      <c r="M16" s="26" t="n">
        <f aca="false">Assumptions!$C$30</f>
        <v>30</v>
      </c>
      <c r="N16" s="30" t="n">
        <f aca="false">IFERROR((L16/K16)*M16,0)</f>
        <v>28.104</v>
      </c>
      <c r="O16" s="28" t="n">
        <f aca="false">IFERROR((G16*12)/Assumptions!$E$21*0.8992,0)</f>
        <v>53561.4551521368</v>
      </c>
      <c r="P16" s="31" t="n">
        <f aca="false">IFERROR((G16*12)/O16,0)</f>
        <v>13.3451957295374</v>
      </c>
      <c r="Q16" s="30" t="n">
        <f aca="false">IFERROR(365/P16,0)</f>
        <v>27.3506666666667</v>
      </c>
    </row>
    <row r="17" customFormat="false" ht="15" hidden="false" customHeight="false" outlineLevel="0" collapsed="false">
      <c r="A17" s="26" t="s">
        <v>48</v>
      </c>
      <c r="B17" s="26" t="s">
        <v>34</v>
      </c>
      <c r="C17" s="27" t="n">
        <f aca="false">Assumptions!$B$5*Assumptions!$B$13*Assumptions!$B$30/Assumptions!$B$39</f>
        <v>117948.717948718</v>
      </c>
      <c r="D17" s="28" t="n">
        <f aca="false">C17*0.9504</f>
        <v>112098.461538462</v>
      </c>
      <c r="E17" s="29" t="n">
        <f aca="false">IFERROR(D17/C17,0)</f>
        <v>0.9504</v>
      </c>
      <c r="F17" s="29" t="n">
        <f aca="false">Assumptions!$B$22</f>
        <v>0.5</v>
      </c>
      <c r="G17" s="27" t="n">
        <f aca="false">D17*F17</f>
        <v>56049.2307692308</v>
      </c>
      <c r="H17" s="27" t="n">
        <f aca="false">D17-G17</f>
        <v>56049.2307692308</v>
      </c>
      <c r="I17" s="29" t="n">
        <f aca="false">IFERROR(H17/D17,0)</f>
        <v>0.5</v>
      </c>
      <c r="J17" s="29" t="n">
        <f aca="false">Assumptions!$C$22</f>
        <v>0.8</v>
      </c>
      <c r="K17" s="27" t="n">
        <f aca="false">D17*J17</f>
        <v>89678.7692307693</v>
      </c>
      <c r="L17" s="28" t="n">
        <f aca="false">(Assumptions!$D$22/Assumptions!$C$30)*K17*0.8803</f>
        <v>105258.960738462</v>
      </c>
      <c r="M17" s="26" t="n">
        <f aca="false">Assumptions!$C$30</f>
        <v>30</v>
      </c>
      <c r="N17" s="30" t="n">
        <f aca="false">IFERROR((L17/K17)*M17,0)</f>
        <v>35.212</v>
      </c>
      <c r="O17" s="28" t="n">
        <f aca="false">IFERROR((G17*12)/Assumptions!$E$22*0.9467,0)</f>
        <v>63674.1681230769</v>
      </c>
      <c r="P17" s="31" t="n">
        <f aca="false">IFERROR((G17*12)/O17,0)</f>
        <v>10.5630083447766</v>
      </c>
      <c r="Q17" s="30" t="n">
        <f aca="false">IFERROR(365/P17,0)</f>
        <v>34.55455</v>
      </c>
    </row>
    <row r="18" customFormat="false" ht="15" hidden="false" customHeight="false" outlineLevel="0" collapsed="false">
      <c r="A18" s="12" t="s">
        <v>49</v>
      </c>
      <c r="B18" s="12" t="s">
        <v>31</v>
      </c>
      <c r="C18" s="21" t="n">
        <f aca="false">Assumptions!$B$5*Assumptions!$B$10*Assumptions!$B$31/Assumptions!$B$39</f>
        <v>269230.769230769</v>
      </c>
      <c r="D18" s="22" t="n">
        <f aca="false">C18*1.0215</f>
        <v>275019.230769231</v>
      </c>
      <c r="E18" s="23" t="n">
        <f aca="false">IFERROR(D18/C18,0)</f>
        <v>1.0215</v>
      </c>
      <c r="F18" s="23" t="n">
        <f aca="false">Assumptions!$B$19</f>
        <v>0.55</v>
      </c>
      <c r="G18" s="21" t="n">
        <f aca="false">D18*F18</f>
        <v>151260.576923077</v>
      </c>
      <c r="H18" s="21" t="n">
        <f aca="false">D18-G18</f>
        <v>123758.653846154</v>
      </c>
      <c r="I18" s="23" t="n">
        <f aca="false">IFERROR(H18/D18,0)</f>
        <v>0.45</v>
      </c>
      <c r="J18" s="23" t="n">
        <f aca="false">Assumptions!$C$19</f>
        <v>0.85</v>
      </c>
      <c r="K18" s="21" t="n">
        <f aca="false">D18*J18</f>
        <v>233766.346153846</v>
      </c>
      <c r="L18" s="22" t="n">
        <f aca="false">(Assumptions!$D$19/Assumptions!$C$31)*K18*0.9594</f>
        <v>325561.111693548</v>
      </c>
      <c r="M18" s="12" t="n">
        <f aca="false">Assumptions!$C$31</f>
        <v>31</v>
      </c>
      <c r="N18" s="24" t="n">
        <f aca="false">IFERROR((L18/K18)*M18,0)</f>
        <v>43.173</v>
      </c>
      <c r="O18" s="22" t="n">
        <f aca="false">IFERROR((G18*12)/Assumptions!$E$19*0.9688,0)</f>
        <v>219811.870384615</v>
      </c>
      <c r="P18" s="25" t="n">
        <f aca="false">IFERROR((G18*12)/O18,0)</f>
        <v>8.25763831544178</v>
      </c>
      <c r="Q18" s="24" t="n">
        <f aca="false">IFERROR(365/P18,0)</f>
        <v>44.2015</v>
      </c>
    </row>
    <row r="19" customFormat="false" ht="15" hidden="false" customHeight="false" outlineLevel="0" collapsed="false">
      <c r="A19" s="12" t="s">
        <v>49</v>
      </c>
      <c r="B19" s="12" t="s">
        <v>32</v>
      </c>
      <c r="C19" s="21" t="n">
        <f aca="false">Assumptions!$B$5*Assumptions!$B$11*Assumptions!$B$31/Assumptions!$B$39</f>
        <v>230769.230769231</v>
      </c>
      <c r="D19" s="22" t="n">
        <f aca="false">C19*0.9402</f>
        <v>216969.230769231</v>
      </c>
      <c r="E19" s="23" t="n">
        <f aca="false">IFERROR(D19/C19,0)</f>
        <v>0.9402</v>
      </c>
      <c r="F19" s="23" t="n">
        <f aca="false">Assumptions!$B$20</f>
        <v>0.6</v>
      </c>
      <c r="G19" s="21" t="n">
        <f aca="false">D19*F19</f>
        <v>130181.538461538</v>
      </c>
      <c r="H19" s="21" t="n">
        <f aca="false">D19-G19</f>
        <v>86787.6923076923</v>
      </c>
      <c r="I19" s="23" t="n">
        <f aca="false">IFERROR(H19/D19,0)</f>
        <v>0.4</v>
      </c>
      <c r="J19" s="23" t="n">
        <f aca="false">Assumptions!$C$20</f>
        <v>0.9</v>
      </c>
      <c r="K19" s="21" t="n">
        <f aca="false">D19*J19</f>
        <v>195272.307692308</v>
      </c>
      <c r="L19" s="22" t="n">
        <f aca="false">(Assumptions!$D$20/Assumptions!$C$31)*K19*0.9301</f>
        <v>292939.95707196</v>
      </c>
      <c r="M19" s="12" t="n">
        <f aca="false">Assumptions!$C$31</f>
        <v>31</v>
      </c>
      <c r="N19" s="24" t="n">
        <f aca="false">IFERROR((L19/K19)*M19,0)</f>
        <v>46.505</v>
      </c>
      <c r="O19" s="22" t="n">
        <f aca="false">IFERROR((G19*12)/Assumptions!$E$20*1.1048,0)</f>
        <v>287649.127384615</v>
      </c>
      <c r="P19" s="25" t="n">
        <f aca="false">IFERROR((G19*12)/O19,0)</f>
        <v>5.4308472121651</v>
      </c>
      <c r="Q19" s="24" t="n">
        <f aca="false">IFERROR(365/P19,0)</f>
        <v>67.2086666666667</v>
      </c>
    </row>
    <row r="20" customFormat="false" ht="15" hidden="false" customHeight="false" outlineLevel="0" collapsed="false">
      <c r="A20" s="12" t="s">
        <v>49</v>
      </c>
      <c r="B20" s="12" t="s">
        <v>33</v>
      </c>
      <c r="C20" s="21" t="n">
        <f aca="false">Assumptions!$B$5*Assumptions!$B$12*Assumptions!$B$31/Assumptions!$B$39</f>
        <v>153846.153846154</v>
      </c>
      <c r="D20" s="22" t="n">
        <f aca="false">C20*1.0315</f>
        <v>158692.307692308</v>
      </c>
      <c r="E20" s="23" t="n">
        <f aca="false">IFERROR(D20/C20,0)</f>
        <v>1.0315</v>
      </c>
      <c r="F20" s="23" t="n">
        <f aca="false">Assumptions!$B$21</f>
        <v>0.4</v>
      </c>
      <c r="G20" s="21" t="n">
        <f aca="false">D20*F20</f>
        <v>63476.9230769231</v>
      </c>
      <c r="H20" s="21" t="n">
        <f aca="false">D20-G20</f>
        <v>95215.3846153846</v>
      </c>
      <c r="I20" s="23" t="n">
        <f aca="false">IFERROR(H20/D20,0)</f>
        <v>0.6</v>
      </c>
      <c r="J20" s="23" t="n">
        <f aca="false">Assumptions!$C$21</f>
        <v>0.7</v>
      </c>
      <c r="K20" s="21" t="n">
        <f aca="false">D20*J20</f>
        <v>111084.615384615</v>
      </c>
      <c r="L20" s="22" t="n">
        <f aca="false">(Assumptions!$D$21/Assumptions!$C$31)*K20*1.0327</f>
        <v>111016.531265509</v>
      </c>
      <c r="M20" s="12" t="n">
        <f aca="false">Assumptions!$C$31</f>
        <v>31</v>
      </c>
      <c r="N20" s="24" t="n">
        <f aca="false">IFERROR((L20/K20)*M20,0)</f>
        <v>30.981</v>
      </c>
      <c r="O20" s="22" t="n">
        <f aca="false">IFERROR((G20*12)/Assumptions!$E$21*0.9211,0)</f>
        <v>58468.5938461539</v>
      </c>
      <c r="P20" s="25" t="n">
        <f aca="false">IFERROR((G20*12)/O20,0)</f>
        <v>13.0279014222126</v>
      </c>
      <c r="Q20" s="24" t="n">
        <f aca="false">IFERROR(365/P20,0)</f>
        <v>28.0167916666667</v>
      </c>
    </row>
    <row r="21" customFormat="false" ht="15" hidden="false" customHeight="false" outlineLevel="0" collapsed="false">
      <c r="A21" s="12" t="s">
        <v>49</v>
      </c>
      <c r="B21" s="12" t="s">
        <v>34</v>
      </c>
      <c r="C21" s="21" t="n">
        <f aca="false">Assumptions!$B$5*Assumptions!$B$13*Assumptions!$B$31/Assumptions!$B$39</f>
        <v>115384.615384615</v>
      </c>
      <c r="D21" s="22" t="n">
        <f aca="false">C21*1.0515</f>
        <v>121326.923076923</v>
      </c>
      <c r="E21" s="23" t="n">
        <f aca="false">IFERROR(D21/C21,0)</f>
        <v>1.0515</v>
      </c>
      <c r="F21" s="23" t="n">
        <f aca="false">Assumptions!$B$22</f>
        <v>0.5</v>
      </c>
      <c r="G21" s="21" t="n">
        <f aca="false">D21*F21</f>
        <v>60663.4615384615</v>
      </c>
      <c r="H21" s="21" t="n">
        <f aca="false">D21-G21</f>
        <v>60663.4615384615</v>
      </c>
      <c r="I21" s="23" t="n">
        <f aca="false">IFERROR(H21/D21,0)</f>
        <v>0.5</v>
      </c>
      <c r="J21" s="23" t="n">
        <f aca="false">Assumptions!$C$22</f>
        <v>0.8</v>
      </c>
      <c r="K21" s="21" t="n">
        <f aca="false">D21*J21</f>
        <v>97061.5384615385</v>
      </c>
      <c r="L21" s="22" t="n">
        <f aca="false">(Assumptions!$D$22/Assumptions!$C$31)*K21*0.899</f>
        <v>112591.384615385</v>
      </c>
      <c r="M21" s="12" t="n">
        <f aca="false">Assumptions!$C$31</f>
        <v>31</v>
      </c>
      <c r="N21" s="24" t="n">
        <f aca="false">IFERROR((L21/K21)*M21,0)</f>
        <v>35.96</v>
      </c>
      <c r="O21" s="22" t="n">
        <f aca="false">IFERROR((G21*12)/Assumptions!$E$22*0.9711,0)</f>
        <v>70692.345</v>
      </c>
      <c r="P21" s="25" t="n">
        <f aca="false">IFERROR((G21*12)/O21,0)</f>
        <v>10.2976006590464</v>
      </c>
      <c r="Q21" s="24" t="n">
        <f aca="false">IFERROR(365/P21,0)</f>
        <v>35.44515</v>
      </c>
    </row>
    <row r="22" customFormat="false" ht="15" hidden="false" customHeight="false" outlineLevel="0" collapsed="false">
      <c r="A22" s="26" t="s">
        <v>50</v>
      </c>
      <c r="B22" s="26" t="s">
        <v>31</v>
      </c>
      <c r="C22" s="27" t="n">
        <f aca="false">Assumptions!$B$5*Assumptions!$B$10*Assumptions!$B$32/Assumptions!$B$39</f>
        <v>239316.239316239</v>
      </c>
      <c r="D22" s="28" t="n">
        <f aca="false">C22*1.0904</f>
        <v>260950.427350427</v>
      </c>
      <c r="E22" s="29" t="n">
        <f aca="false">IFERROR(D22/C22,0)</f>
        <v>1.0904</v>
      </c>
      <c r="F22" s="29" t="n">
        <f aca="false">Assumptions!$B$19</f>
        <v>0.55</v>
      </c>
      <c r="G22" s="27" t="n">
        <f aca="false">D22*F22</f>
        <v>143522.735042735</v>
      </c>
      <c r="H22" s="27" t="n">
        <f aca="false">D22-G22</f>
        <v>117427.692307692</v>
      </c>
      <c r="I22" s="29" t="n">
        <f aca="false">IFERROR(H22/D22,0)</f>
        <v>0.45</v>
      </c>
      <c r="J22" s="29" t="n">
        <f aca="false">Assumptions!$C$19</f>
        <v>0.85</v>
      </c>
      <c r="K22" s="27" t="n">
        <f aca="false">D22*J22</f>
        <v>221807.863247863</v>
      </c>
      <c r="L22" s="28" t="n">
        <f aca="false">(Assumptions!$D$19/Assumptions!$C$32)*K22*1.042</f>
        <v>346685.69025641</v>
      </c>
      <c r="M22" s="26" t="n">
        <f aca="false">Assumptions!$C$32</f>
        <v>30</v>
      </c>
      <c r="N22" s="30" t="n">
        <f aca="false">IFERROR((L22/K22)*M22,0)</f>
        <v>46.89</v>
      </c>
      <c r="O22" s="28" t="n">
        <f aca="false">IFERROR((G22*12)/Assumptions!$E$19*1.0137,0)</f>
        <v>218233.494769231</v>
      </c>
      <c r="P22" s="31" t="n">
        <f aca="false">IFERROR((G22*12)/O22,0)</f>
        <v>7.89188122718753</v>
      </c>
      <c r="Q22" s="30" t="n">
        <f aca="false">IFERROR(365/P22,0)</f>
        <v>46.2500625</v>
      </c>
    </row>
    <row r="23" customFormat="false" ht="15" hidden="false" customHeight="false" outlineLevel="0" collapsed="false">
      <c r="A23" s="26" t="s">
        <v>50</v>
      </c>
      <c r="B23" s="26" t="s">
        <v>32</v>
      </c>
      <c r="C23" s="27" t="n">
        <f aca="false">Assumptions!$B$5*Assumptions!$B$11*Assumptions!$B$32/Assumptions!$B$39</f>
        <v>205128.205128205</v>
      </c>
      <c r="D23" s="28" t="n">
        <f aca="false">C23*1.0346</f>
        <v>212225.641025641</v>
      </c>
      <c r="E23" s="29" t="n">
        <f aca="false">IFERROR(D23/C23,0)</f>
        <v>1.0346</v>
      </c>
      <c r="F23" s="29" t="n">
        <f aca="false">Assumptions!$B$20</f>
        <v>0.6</v>
      </c>
      <c r="G23" s="27" t="n">
        <f aca="false">D23*F23</f>
        <v>127335.384615385</v>
      </c>
      <c r="H23" s="27" t="n">
        <f aca="false">D23-G23</f>
        <v>84890.2564102564</v>
      </c>
      <c r="I23" s="29" t="n">
        <f aca="false">IFERROR(H23/D23,0)</f>
        <v>0.4</v>
      </c>
      <c r="J23" s="29" t="n">
        <f aca="false">Assumptions!$C$20</f>
        <v>0.9</v>
      </c>
      <c r="K23" s="27" t="n">
        <f aca="false">D23*J23</f>
        <v>191003.076923077</v>
      </c>
      <c r="L23" s="28" t="n">
        <f aca="false">(Assumptions!$D$20/Assumptions!$C$32)*K23*1.1029</f>
        <v>351095.489230769</v>
      </c>
      <c r="M23" s="26" t="n">
        <f aca="false">Assumptions!$C$32</f>
        <v>30</v>
      </c>
      <c r="N23" s="30" t="n">
        <f aca="false">IFERROR((L23/K23)*M23,0)</f>
        <v>55.145</v>
      </c>
      <c r="O23" s="28" t="n">
        <f aca="false">IFERROR((G23*12)/Assumptions!$E$20*1.0662,0)</f>
        <v>271529.974153846</v>
      </c>
      <c r="P23" s="31" t="n">
        <f aca="false">IFERROR((G23*12)/O23,0)</f>
        <v>5.6274620146314</v>
      </c>
      <c r="Q23" s="30" t="n">
        <f aca="false">IFERROR(365/P23,0)</f>
        <v>64.8605</v>
      </c>
    </row>
    <row r="24" customFormat="false" ht="15" hidden="false" customHeight="false" outlineLevel="0" collapsed="false">
      <c r="A24" s="26" t="s">
        <v>50</v>
      </c>
      <c r="B24" s="26" t="s">
        <v>33</v>
      </c>
      <c r="C24" s="27" t="n">
        <f aca="false">Assumptions!$B$5*Assumptions!$B$12*Assumptions!$B$32/Assumptions!$B$39</f>
        <v>136752.136752137</v>
      </c>
      <c r="D24" s="28" t="n">
        <f aca="false">C24*0.948</f>
        <v>129641.025641026</v>
      </c>
      <c r="E24" s="29" t="n">
        <f aca="false">IFERROR(D24/C24,0)</f>
        <v>0.948</v>
      </c>
      <c r="F24" s="29" t="n">
        <f aca="false">Assumptions!$B$21</f>
        <v>0.4</v>
      </c>
      <c r="G24" s="27" t="n">
        <f aca="false">D24*F24</f>
        <v>51856.4102564103</v>
      </c>
      <c r="H24" s="27" t="n">
        <f aca="false">D24-G24</f>
        <v>77784.6153846154</v>
      </c>
      <c r="I24" s="29" t="n">
        <f aca="false">IFERROR(H24/D24,0)</f>
        <v>0.6</v>
      </c>
      <c r="J24" s="29" t="n">
        <f aca="false">Assumptions!$C$21</f>
        <v>0.7</v>
      </c>
      <c r="K24" s="27" t="n">
        <f aca="false">D24*J24</f>
        <v>90748.7179487179</v>
      </c>
      <c r="L24" s="28" t="n">
        <f aca="false">(Assumptions!$D$21/Assumptions!$C$32)*K24*0.8596</f>
        <v>78007.5979487179</v>
      </c>
      <c r="M24" s="26" t="n">
        <f aca="false">Assumptions!$C$32</f>
        <v>30</v>
      </c>
      <c r="N24" s="30" t="n">
        <f aca="false">IFERROR((L24/K24)*M24,0)</f>
        <v>25.788</v>
      </c>
      <c r="O24" s="28" t="n">
        <f aca="false">IFERROR((G24*12)/Assumptions!$E$21*0.9557,0)</f>
        <v>49559.1712820513</v>
      </c>
      <c r="P24" s="31" t="n">
        <f aca="false">IFERROR((G24*12)/O24,0)</f>
        <v>12.5562414983782</v>
      </c>
      <c r="Q24" s="30" t="n">
        <f aca="false">IFERROR(365/P24,0)</f>
        <v>29.0692083333333</v>
      </c>
    </row>
    <row r="25" customFormat="false" ht="15" hidden="false" customHeight="false" outlineLevel="0" collapsed="false">
      <c r="A25" s="26" t="s">
        <v>50</v>
      </c>
      <c r="B25" s="26" t="s">
        <v>34</v>
      </c>
      <c r="C25" s="27" t="n">
        <f aca="false">Assumptions!$B$5*Assumptions!$B$13*Assumptions!$B$32/Assumptions!$B$39</f>
        <v>102564.102564103</v>
      </c>
      <c r="D25" s="28" t="n">
        <f aca="false">C25*0.96</f>
        <v>98461.5384615385</v>
      </c>
      <c r="E25" s="29" t="n">
        <f aca="false">IFERROR(D25/C25,0)</f>
        <v>0.96</v>
      </c>
      <c r="F25" s="29" t="n">
        <f aca="false">Assumptions!$B$22</f>
        <v>0.5</v>
      </c>
      <c r="G25" s="27" t="n">
        <f aca="false">D25*F25</f>
        <v>49230.7692307692</v>
      </c>
      <c r="H25" s="27" t="n">
        <f aca="false">D25-G25</f>
        <v>49230.7692307692</v>
      </c>
      <c r="I25" s="29" t="n">
        <f aca="false">IFERROR(H25/D25,0)</f>
        <v>0.5</v>
      </c>
      <c r="J25" s="29" t="n">
        <f aca="false">Assumptions!$C$22</f>
        <v>0.8</v>
      </c>
      <c r="K25" s="27" t="n">
        <f aca="false">D25*J25</f>
        <v>78769.2307692308</v>
      </c>
      <c r="L25" s="28" t="n">
        <f aca="false">(Assumptions!$D$22/Assumptions!$C$32)*K25*0.9133</f>
        <v>95919.917948718</v>
      </c>
      <c r="M25" s="26" t="n">
        <f aca="false">Assumptions!$C$32</f>
        <v>30</v>
      </c>
      <c r="N25" s="30" t="n">
        <f aca="false">IFERROR((L25/K25)*M25,0)</f>
        <v>36.532</v>
      </c>
      <c r="O25" s="28" t="n">
        <f aca="false">IFERROR((G25*12)/Assumptions!$E$22*1.1063,0)</f>
        <v>65356.8</v>
      </c>
      <c r="P25" s="31" t="n">
        <f aca="false">IFERROR((G25*12)/O25,0)</f>
        <v>9.03913947392208</v>
      </c>
      <c r="Q25" s="30" t="n">
        <f aca="false">IFERROR(365/P25,0)</f>
        <v>40.37995</v>
      </c>
    </row>
    <row r="26" customFormat="false" ht="15" hidden="false" customHeight="false" outlineLevel="0" collapsed="false">
      <c r="A26" s="12" t="s">
        <v>51</v>
      </c>
      <c r="B26" s="12" t="s">
        <v>31</v>
      </c>
      <c r="C26" s="21" t="n">
        <f aca="false">Assumptions!$B$5*Assumptions!$B$10*Assumptions!$B$33/Assumptions!$B$39</f>
        <v>224358.974358974</v>
      </c>
      <c r="D26" s="22" t="n">
        <f aca="false">C26*1.0665</f>
        <v>239278.846153846</v>
      </c>
      <c r="E26" s="23" t="n">
        <f aca="false">IFERROR(D26/C26,0)</f>
        <v>1.0665</v>
      </c>
      <c r="F26" s="23" t="n">
        <f aca="false">Assumptions!$B$19</f>
        <v>0.55</v>
      </c>
      <c r="G26" s="21" t="n">
        <f aca="false">D26*F26</f>
        <v>131603.365384615</v>
      </c>
      <c r="H26" s="21" t="n">
        <f aca="false">D26-G26</f>
        <v>107675.480769231</v>
      </c>
      <c r="I26" s="23" t="n">
        <f aca="false">IFERROR(H26/D26,0)</f>
        <v>0.45</v>
      </c>
      <c r="J26" s="23" t="n">
        <f aca="false">Assumptions!$C$19</f>
        <v>0.85</v>
      </c>
      <c r="K26" s="21" t="n">
        <f aca="false">D26*J26</f>
        <v>203387.019230769</v>
      </c>
      <c r="L26" s="22" t="n">
        <f aca="false">(Assumptions!$D$19/Assumptions!$C$33)*K26*0.9444</f>
        <v>278823.92075062</v>
      </c>
      <c r="M26" s="12" t="n">
        <f aca="false">Assumptions!$C$33</f>
        <v>31</v>
      </c>
      <c r="N26" s="24" t="n">
        <f aca="false">IFERROR((L26/K26)*M26,0)</f>
        <v>42.498</v>
      </c>
      <c r="O26" s="22" t="n">
        <f aca="false">IFERROR((G26*12)/Assumptions!$E$19*1.0373,0)</f>
        <v>204768.256370192</v>
      </c>
      <c r="P26" s="25" t="n">
        <f aca="false">IFERROR((G26*12)/O26,0)</f>
        <v>7.71233008772775</v>
      </c>
      <c r="Q26" s="24" t="n">
        <f aca="false">IFERROR(365/P26,0)</f>
        <v>47.3268125</v>
      </c>
    </row>
    <row r="27" customFormat="false" ht="15" hidden="false" customHeight="false" outlineLevel="0" collapsed="false">
      <c r="A27" s="12" t="s">
        <v>51</v>
      </c>
      <c r="B27" s="12" t="s">
        <v>32</v>
      </c>
      <c r="C27" s="21" t="n">
        <f aca="false">Assumptions!$B$5*Assumptions!$B$11*Assumptions!$B$33/Assumptions!$B$39</f>
        <v>192307.692307692</v>
      </c>
      <c r="D27" s="22" t="n">
        <f aca="false">C27*0.9765</f>
        <v>187788.461538462</v>
      </c>
      <c r="E27" s="23" t="n">
        <f aca="false">IFERROR(D27/C27,0)</f>
        <v>0.9765</v>
      </c>
      <c r="F27" s="23" t="n">
        <f aca="false">Assumptions!$B$20</f>
        <v>0.6</v>
      </c>
      <c r="G27" s="21" t="n">
        <f aca="false">D27*F27</f>
        <v>112673.076923077</v>
      </c>
      <c r="H27" s="21" t="n">
        <f aca="false">D27-G27</f>
        <v>75115.3846153846</v>
      </c>
      <c r="I27" s="23" t="n">
        <f aca="false">IFERROR(H27/D27,0)</f>
        <v>0.4</v>
      </c>
      <c r="J27" s="23" t="n">
        <f aca="false">Assumptions!$C$20</f>
        <v>0.9</v>
      </c>
      <c r="K27" s="21" t="n">
        <f aca="false">D27*J27</f>
        <v>169009.615384615</v>
      </c>
      <c r="L27" s="22" t="n">
        <f aca="false">(Assumptions!$D$20/Assumptions!$C$33)*K27*1.1244</f>
        <v>306507.115384615</v>
      </c>
      <c r="M27" s="12" t="n">
        <f aca="false">Assumptions!$C$33</f>
        <v>31</v>
      </c>
      <c r="N27" s="24" t="n">
        <f aca="false">IFERROR((L27/K27)*M27,0)</f>
        <v>56.22</v>
      </c>
      <c r="O27" s="22" t="n">
        <f aca="false">IFERROR((G27*12)/Assumptions!$E$20*0.9901,0)</f>
        <v>223115.226923077</v>
      </c>
      <c r="P27" s="25" t="n">
        <f aca="false">IFERROR((G27*12)/O27,0)</f>
        <v>6.05999394000606</v>
      </c>
      <c r="Q27" s="24" t="n">
        <f aca="false">IFERROR(365/P27,0)</f>
        <v>60.2310833333333</v>
      </c>
    </row>
    <row r="28" customFormat="false" ht="15" hidden="false" customHeight="false" outlineLevel="0" collapsed="false">
      <c r="A28" s="12" t="s">
        <v>51</v>
      </c>
      <c r="B28" s="12" t="s">
        <v>33</v>
      </c>
      <c r="C28" s="21" t="n">
        <f aca="false">Assumptions!$B$5*Assumptions!$B$12*Assumptions!$B$33/Assumptions!$B$39</f>
        <v>128205.128205128</v>
      </c>
      <c r="D28" s="22" t="n">
        <f aca="false">C28*0.9556</f>
        <v>122512.820512821</v>
      </c>
      <c r="E28" s="23" t="n">
        <f aca="false">IFERROR(D28/C28,0)</f>
        <v>0.9556</v>
      </c>
      <c r="F28" s="23" t="n">
        <f aca="false">Assumptions!$B$21</f>
        <v>0.4</v>
      </c>
      <c r="G28" s="21" t="n">
        <f aca="false">D28*F28</f>
        <v>49005.1282051282</v>
      </c>
      <c r="H28" s="21" t="n">
        <f aca="false">D28-G28</f>
        <v>73507.6923076923</v>
      </c>
      <c r="I28" s="23" t="n">
        <f aca="false">IFERROR(H28/D28,0)</f>
        <v>0.6</v>
      </c>
      <c r="J28" s="23" t="n">
        <f aca="false">Assumptions!$C$21</f>
        <v>0.7</v>
      </c>
      <c r="K28" s="21" t="n">
        <f aca="false">D28*J28</f>
        <v>85758.9743589744</v>
      </c>
      <c r="L28" s="22" t="n">
        <f aca="false">(Assumptions!$D$21/Assumptions!$C$33)*K28*0.924</f>
        <v>76685.1215880893</v>
      </c>
      <c r="M28" s="12" t="n">
        <f aca="false">Assumptions!$C$33</f>
        <v>31</v>
      </c>
      <c r="N28" s="24" t="n">
        <f aca="false">IFERROR((L28/K28)*M28,0)</f>
        <v>27.72</v>
      </c>
      <c r="O28" s="22" t="n">
        <f aca="false">IFERROR((G28*12)/Assumptions!$E$21*1.0147,0)</f>
        <v>49725.5035897436</v>
      </c>
      <c r="P28" s="25" t="n">
        <f aca="false">IFERROR((G28*12)/O28,0)</f>
        <v>11.826155513945</v>
      </c>
      <c r="Q28" s="24" t="n">
        <f aca="false">IFERROR(365/P28,0)</f>
        <v>30.8637916666667</v>
      </c>
    </row>
    <row r="29" customFormat="false" ht="15" hidden="false" customHeight="false" outlineLevel="0" collapsed="false">
      <c r="A29" s="12" t="s">
        <v>51</v>
      </c>
      <c r="B29" s="12" t="s">
        <v>34</v>
      </c>
      <c r="C29" s="21" t="n">
        <f aca="false">Assumptions!$B$5*Assumptions!$B$13*Assumptions!$B$33/Assumptions!$B$39</f>
        <v>96153.8461538462</v>
      </c>
      <c r="D29" s="22" t="n">
        <f aca="false">C29*0.9603</f>
        <v>92336.5384615385</v>
      </c>
      <c r="E29" s="23" t="n">
        <f aca="false">IFERROR(D29/C29,0)</f>
        <v>0.9603</v>
      </c>
      <c r="F29" s="23" t="n">
        <f aca="false">Assumptions!$B$22</f>
        <v>0.5</v>
      </c>
      <c r="G29" s="21" t="n">
        <f aca="false">D29*F29</f>
        <v>46168.2692307692</v>
      </c>
      <c r="H29" s="21" t="n">
        <f aca="false">D29-G29</f>
        <v>46168.2692307692</v>
      </c>
      <c r="I29" s="23" t="n">
        <f aca="false">IFERROR(H29/D29,0)</f>
        <v>0.5</v>
      </c>
      <c r="J29" s="23" t="n">
        <f aca="false">Assumptions!$C$22</f>
        <v>0.8</v>
      </c>
      <c r="K29" s="21" t="n">
        <f aca="false">D29*J29</f>
        <v>73869.2307692308</v>
      </c>
      <c r="L29" s="22" t="n">
        <f aca="false">(Assumptions!$D$22/Assumptions!$C$33)*K29*1.0254</f>
        <v>97736.1409429281</v>
      </c>
      <c r="M29" s="12" t="n">
        <f aca="false">Assumptions!$C$33</f>
        <v>31</v>
      </c>
      <c r="N29" s="24" t="n">
        <f aca="false">IFERROR((L29/K29)*M29,0)</f>
        <v>41.016</v>
      </c>
      <c r="O29" s="22" t="n">
        <f aca="false">IFERROR((G29*12)/Assumptions!$E$22*1.0955,0)</f>
        <v>60692.8067307692</v>
      </c>
      <c r="P29" s="25" t="n">
        <f aca="false">IFERROR((G29*12)/O29,0)</f>
        <v>9.12825193975354</v>
      </c>
      <c r="Q29" s="24" t="n">
        <f aca="false">IFERROR(365/P29,0)</f>
        <v>39.98575</v>
      </c>
    </row>
    <row r="30" customFormat="false" ht="15" hidden="false" customHeight="false" outlineLevel="0" collapsed="false">
      <c r="A30" s="26" t="s">
        <v>52</v>
      </c>
      <c r="B30" s="26" t="s">
        <v>31</v>
      </c>
      <c r="C30" s="27" t="n">
        <f aca="false">Assumptions!$B$5*Assumptions!$B$10*Assumptions!$B$34/Assumptions!$B$39</f>
        <v>239316.239316239</v>
      </c>
      <c r="D30" s="28" t="n">
        <f aca="false">C30*0.9705</f>
        <v>232256.41025641</v>
      </c>
      <c r="E30" s="29" t="n">
        <f aca="false">IFERROR(D30/C30,0)</f>
        <v>0.9705</v>
      </c>
      <c r="F30" s="29" t="n">
        <f aca="false">Assumptions!$B$19</f>
        <v>0.55</v>
      </c>
      <c r="G30" s="27" t="n">
        <f aca="false">D30*F30</f>
        <v>127741.025641026</v>
      </c>
      <c r="H30" s="27" t="n">
        <f aca="false">D30-G30</f>
        <v>104515.384615385</v>
      </c>
      <c r="I30" s="29" t="n">
        <f aca="false">IFERROR(H30/D30,0)</f>
        <v>0.45</v>
      </c>
      <c r="J30" s="29" t="n">
        <f aca="false">Assumptions!$C$19</f>
        <v>0.85</v>
      </c>
      <c r="K30" s="27" t="n">
        <f aca="false">D30*J30</f>
        <v>197417.948717949</v>
      </c>
      <c r="L30" s="28" t="n">
        <f aca="false">(Assumptions!$D$19/Assumptions!$C$34)*K30*0.9158</f>
        <v>262444.87369727</v>
      </c>
      <c r="M30" s="26" t="n">
        <f aca="false">Assumptions!$C$34</f>
        <v>31</v>
      </c>
      <c r="N30" s="30" t="n">
        <f aca="false">IFERROR((L30/K30)*M30,0)</f>
        <v>41.211</v>
      </c>
      <c r="O30" s="28" t="n">
        <f aca="false">IFERROR((G30*12)/Assumptions!$E$19*1.1194,0)</f>
        <v>214489.956153846</v>
      </c>
      <c r="P30" s="31" t="n">
        <f aca="false">IFERROR((G30*12)/O30,0)</f>
        <v>7.14668572449527</v>
      </c>
      <c r="Q30" s="30" t="n">
        <f aca="false">IFERROR(365/P30,0)</f>
        <v>51.072625</v>
      </c>
    </row>
    <row r="31" customFormat="false" ht="15" hidden="false" customHeight="false" outlineLevel="0" collapsed="false">
      <c r="A31" s="26" t="s">
        <v>52</v>
      </c>
      <c r="B31" s="26" t="s">
        <v>32</v>
      </c>
      <c r="C31" s="27" t="n">
        <f aca="false">Assumptions!$B$5*Assumptions!$B$11*Assumptions!$B$34/Assumptions!$B$39</f>
        <v>205128.205128205</v>
      </c>
      <c r="D31" s="28" t="n">
        <f aca="false">C31*0.9987</f>
        <v>204861.538461539</v>
      </c>
      <c r="E31" s="29" t="n">
        <f aca="false">IFERROR(D31/C31,0)</f>
        <v>0.9987</v>
      </c>
      <c r="F31" s="29" t="n">
        <f aca="false">Assumptions!$B$20</f>
        <v>0.6</v>
      </c>
      <c r="G31" s="27" t="n">
        <f aca="false">D31*F31</f>
        <v>122916.923076923</v>
      </c>
      <c r="H31" s="27" t="n">
        <f aca="false">D31-G31</f>
        <v>81944.6153846154</v>
      </c>
      <c r="I31" s="29" t="n">
        <f aca="false">IFERROR(H31/D31,0)</f>
        <v>0.4</v>
      </c>
      <c r="J31" s="29" t="n">
        <f aca="false">Assumptions!$C$20</f>
        <v>0.9</v>
      </c>
      <c r="K31" s="27" t="n">
        <f aca="false">D31*J31</f>
        <v>184375.384615385</v>
      </c>
      <c r="L31" s="28" t="n">
        <f aca="false">(Assumptions!$D$20/Assumptions!$C$34)*K31*0.8773</f>
        <v>260891.169230769</v>
      </c>
      <c r="M31" s="26" t="n">
        <f aca="false">Assumptions!$C$34</f>
        <v>31</v>
      </c>
      <c r="N31" s="30" t="n">
        <f aca="false">IFERROR((L31/K31)*M31,0)</f>
        <v>43.865</v>
      </c>
      <c r="O31" s="28" t="n">
        <f aca="false">IFERROR((G31*12)/Assumptions!$E$20*0.8913,0)</f>
        <v>219111.707076923</v>
      </c>
      <c r="P31" s="31" t="n">
        <f aca="false">IFERROR((G31*12)/O31,0)</f>
        <v>6.73174015483002</v>
      </c>
      <c r="Q31" s="30" t="n">
        <f aca="false">IFERROR(365/P31,0)</f>
        <v>54.22075</v>
      </c>
    </row>
    <row r="32" customFormat="false" ht="15" hidden="false" customHeight="false" outlineLevel="0" collapsed="false">
      <c r="A32" s="26" t="s">
        <v>52</v>
      </c>
      <c r="B32" s="26" t="s">
        <v>33</v>
      </c>
      <c r="C32" s="27" t="n">
        <f aca="false">Assumptions!$B$5*Assumptions!$B$12*Assumptions!$B$34/Assumptions!$B$39</f>
        <v>136752.136752137</v>
      </c>
      <c r="D32" s="28" t="n">
        <f aca="false">C32*0.9249</f>
        <v>126482.051282051</v>
      </c>
      <c r="E32" s="29" t="n">
        <f aca="false">IFERROR(D32/C32,0)</f>
        <v>0.9249</v>
      </c>
      <c r="F32" s="29" t="n">
        <f aca="false">Assumptions!$B$21</f>
        <v>0.4</v>
      </c>
      <c r="G32" s="27" t="n">
        <f aca="false">D32*F32</f>
        <v>50592.8205128205</v>
      </c>
      <c r="H32" s="27" t="n">
        <f aca="false">D32-G32</f>
        <v>75889.2307692308</v>
      </c>
      <c r="I32" s="29" t="n">
        <f aca="false">IFERROR(H32/D32,0)</f>
        <v>0.6</v>
      </c>
      <c r="J32" s="29" t="n">
        <f aca="false">Assumptions!$C$21</f>
        <v>0.7</v>
      </c>
      <c r="K32" s="27" t="n">
        <f aca="false">D32*J32</f>
        <v>88537.4358974359</v>
      </c>
      <c r="L32" s="28" t="n">
        <f aca="false">(Assumptions!$D$21/Assumptions!$C$34)*K32*1.0382</f>
        <v>88954.4186600496</v>
      </c>
      <c r="M32" s="26" t="n">
        <f aca="false">Assumptions!$C$34</f>
        <v>31</v>
      </c>
      <c r="N32" s="30" t="n">
        <f aca="false">IFERROR((L32/K32)*M32,0)</f>
        <v>31.146</v>
      </c>
      <c r="O32" s="28" t="n">
        <f aca="false">IFERROR((G32*12)/Assumptions!$E$21*1.0701,0)</f>
        <v>54139.3772307692</v>
      </c>
      <c r="P32" s="31" t="n">
        <f aca="false">IFERROR((G32*12)/O32,0)</f>
        <v>11.2139052425007</v>
      </c>
      <c r="Q32" s="30" t="n">
        <f aca="false">IFERROR(365/P32,0)</f>
        <v>32.548875</v>
      </c>
    </row>
    <row r="33" customFormat="false" ht="15" hidden="false" customHeight="false" outlineLevel="0" collapsed="false">
      <c r="A33" s="26" t="s">
        <v>52</v>
      </c>
      <c r="B33" s="26" t="s">
        <v>34</v>
      </c>
      <c r="C33" s="27" t="n">
        <f aca="false">Assumptions!$B$5*Assumptions!$B$13*Assumptions!$B$34/Assumptions!$B$39</f>
        <v>102564.102564103</v>
      </c>
      <c r="D33" s="28" t="n">
        <f aca="false">C33*0.9938</f>
        <v>101928.205128205</v>
      </c>
      <c r="E33" s="29" t="n">
        <f aca="false">IFERROR(D33/C33,0)</f>
        <v>0.9938</v>
      </c>
      <c r="F33" s="29" t="n">
        <f aca="false">Assumptions!$B$22</f>
        <v>0.5</v>
      </c>
      <c r="G33" s="27" t="n">
        <f aca="false">D33*F33</f>
        <v>50964.1025641026</v>
      </c>
      <c r="H33" s="27" t="n">
        <f aca="false">D33-G33</f>
        <v>50964.1025641026</v>
      </c>
      <c r="I33" s="29" t="n">
        <f aca="false">IFERROR(H33/D33,0)</f>
        <v>0.5</v>
      </c>
      <c r="J33" s="29" t="n">
        <f aca="false">Assumptions!$C$22</f>
        <v>0.8</v>
      </c>
      <c r="K33" s="27" t="n">
        <f aca="false">D33*J33</f>
        <v>81542.5641025641</v>
      </c>
      <c r="L33" s="28" t="n">
        <f aca="false">(Assumptions!$D$22/Assumptions!$C$34)*K33*0.8691</f>
        <v>91443.4096277916</v>
      </c>
      <c r="M33" s="26" t="n">
        <f aca="false">Assumptions!$C$34</f>
        <v>31</v>
      </c>
      <c r="N33" s="30" t="n">
        <f aca="false">IFERROR((L33/K33)*M33,0)</f>
        <v>34.764</v>
      </c>
      <c r="O33" s="28" t="n">
        <f aca="false">IFERROR((G33*12)/Assumptions!$E$22*0.9716,0)</f>
        <v>59420.0664615385</v>
      </c>
      <c r="P33" s="31" t="n">
        <f aca="false">IFERROR((G33*12)/O33,0)</f>
        <v>10.2923013585838</v>
      </c>
      <c r="Q33" s="30" t="n">
        <f aca="false">IFERROR(365/P33,0)</f>
        <v>35.4634</v>
      </c>
    </row>
    <row r="34" customFormat="false" ht="15" hidden="false" customHeight="false" outlineLevel="0" collapsed="false">
      <c r="A34" s="12" t="s">
        <v>53</v>
      </c>
      <c r="B34" s="12" t="s">
        <v>31</v>
      </c>
      <c r="C34" s="21" t="n">
        <f aca="false">Assumptions!$B$5*Assumptions!$B$10*Assumptions!$B$35/Assumptions!$B$39</f>
        <v>314102.564102564</v>
      </c>
      <c r="D34" s="22" t="n">
        <f aca="false">C34*1.0872</f>
        <v>341492.307692308</v>
      </c>
      <c r="E34" s="23" t="n">
        <f aca="false">IFERROR(D34/C34,0)</f>
        <v>1.0872</v>
      </c>
      <c r="F34" s="23" t="n">
        <f aca="false">Assumptions!$B$19</f>
        <v>0.55</v>
      </c>
      <c r="G34" s="21" t="n">
        <f aca="false">D34*F34</f>
        <v>187820.769230769</v>
      </c>
      <c r="H34" s="21" t="n">
        <f aca="false">D34-G34</f>
        <v>153671.538461538</v>
      </c>
      <c r="I34" s="23" t="n">
        <f aca="false">IFERROR(H34/D34,0)</f>
        <v>0.45</v>
      </c>
      <c r="J34" s="23" t="n">
        <f aca="false">Assumptions!$C$19</f>
        <v>0.85</v>
      </c>
      <c r="K34" s="21" t="n">
        <f aca="false">D34*J34</f>
        <v>290268.461538462</v>
      </c>
      <c r="L34" s="22" t="n">
        <f aca="false">(Assumptions!$D$19/Assumptions!$C$35)*K34*1.0087</f>
        <v>439190.695730769</v>
      </c>
      <c r="M34" s="12" t="n">
        <f aca="false">Assumptions!$C$35</f>
        <v>30</v>
      </c>
      <c r="N34" s="24" t="n">
        <f aca="false">IFERROR((L34/K34)*M34,0)</f>
        <v>45.3915</v>
      </c>
      <c r="O34" s="22" t="n">
        <f aca="false">IFERROR((G34*12)/Assumptions!$E$19*1.1131,0)</f>
        <v>313594.947346154</v>
      </c>
      <c r="P34" s="25" t="n">
        <f aca="false">IFERROR((G34*12)/O34,0)</f>
        <v>7.18713502829935</v>
      </c>
      <c r="Q34" s="24" t="n">
        <f aca="false">IFERROR(365/P34,0)</f>
        <v>50.7851875</v>
      </c>
    </row>
    <row r="35" customFormat="false" ht="15" hidden="false" customHeight="false" outlineLevel="0" collapsed="false">
      <c r="A35" s="12" t="s">
        <v>53</v>
      </c>
      <c r="B35" s="12" t="s">
        <v>32</v>
      </c>
      <c r="C35" s="21" t="n">
        <f aca="false">Assumptions!$B$5*Assumptions!$B$11*Assumptions!$B$35/Assumptions!$B$39</f>
        <v>269230.769230769</v>
      </c>
      <c r="D35" s="22" t="n">
        <f aca="false">C35*1.0683</f>
        <v>287619.230769231</v>
      </c>
      <c r="E35" s="23" t="n">
        <f aca="false">IFERROR(D35/C35,0)</f>
        <v>1.0683</v>
      </c>
      <c r="F35" s="23" t="n">
        <f aca="false">Assumptions!$B$20</f>
        <v>0.6</v>
      </c>
      <c r="G35" s="21" t="n">
        <f aca="false">D35*F35</f>
        <v>172571.538461538</v>
      </c>
      <c r="H35" s="21" t="n">
        <f aca="false">D35-G35</f>
        <v>115047.692307692</v>
      </c>
      <c r="I35" s="23" t="n">
        <f aca="false">IFERROR(H35/D35,0)</f>
        <v>0.4</v>
      </c>
      <c r="J35" s="23" t="n">
        <f aca="false">Assumptions!$C$20</f>
        <v>0.9</v>
      </c>
      <c r="K35" s="21" t="n">
        <f aca="false">D35*J35</f>
        <v>258857.307692308</v>
      </c>
      <c r="L35" s="22" t="n">
        <f aca="false">(Assumptions!$D$20/Assumptions!$C$35)*K35*0.8534</f>
        <v>368181.377307692</v>
      </c>
      <c r="M35" s="12" t="n">
        <f aca="false">Assumptions!$C$35</f>
        <v>30</v>
      </c>
      <c r="N35" s="24" t="n">
        <f aca="false">IFERROR((L35/K35)*M35,0)</f>
        <v>42.67</v>
      </c>
      <c r="O35" s="22" t="n">
        <f aca="false">IFERROR((G35*12)/Assumptions!$E$20*1.053,0)</f>
        <v>363435.66</v>
      </c>
      <c r="P35" s="25" t="n">
        <f aca="false">IFERROR((G35*12)/O35,0)</f>
        <v>5.6980056980057</v>
      </c>
      <c r="Q35" s="24" t="n">
        <f aca="false">IFERROR(365/P35,0)</f>
        <v>64.0575</v>
      </c>
    </row>
    <row r="36" customFormat="false" ht="15" hidden="false" customHeight="false" outlineLevel="0" collapsed="false">
      <c r="A36" s="12" t="s">
        <v>53</v>
      </c>
      <c r="B36" s="12" t="s">
        <v>33</v>
      </c>
      <c r="C36" s="21" t="n">
        <f aca="false">Assumptions!$B$5*Assumptions!$B$12*Assumptions!$B$35/Assumptions!$B$39</f>
        <v>179487.17948718</v>
      </c>
      <c r="D36" s="22" t="n">
        <f aca="false">C36*1.0401</f>
        <v>186684.615384615</v>
      </c>
      <c r="E36" s="23" t="n">
        <f aca="false">IFERROR(D36/C36,0)</f>
        <v>1.0401</v>
      </c>
      <c r="F36" s="23" t="n">
        <f aca="false">Assumptions!$B$21</f>
        <v>0.4</v>
      </c>
      <c r="G36" s="21" t="n">
        <f aca="false">D36*F36</f>
        <v>74673.8461538462</v>
      </c>
      <c r="H36" s="21" t="n">
        <f aca="false">D36-G36</f>
        <v>112010.769230769</v>
      </c>
      <c r="I36" s="23" t="n">
        <f aca="false">IFERROR(H36/D36,0)</f>
        <v>0.6</v>
      </c>
      <c r="J36" s="23" t="n">
        <f aca="false">Assumptions!$C$21</f>
        <v>0.7</v>
      </c>
      <c r="K36" s="21" t="n">
        <f aca="false">D36*J36</f>
        <v>130679.230769231</v>
      </c>
      <c r="L36" s="22" t="n">
        <f aca="false">(Assumptions!$D$21/Assumptions!$C$35)*K36*1.0111</f>
        <v>132129.770230769</v>
      </c>
      <c r="M36" s="12" t="n">
        <f aca="false">Assumptions!$C$35</f>
        <v>30</v>
      </c>
      <c r="N36" s="24" t="n">
        <f aca="false">IFERROR((L36/K36)*M36,0)</f>
        <v>30.333</v>
      </c>
      <c r="O36" s="22" t="n">
        <f aca="false">IFERROR((G36*12)/Assumptions!$E$21*0.944,0)</f>
        <v>70492.1107692308</v>
      </c>
      <c r="P36" s="25" t="n">
        <f aca="false">IFERROR((G36*12)/O36,0)</f>
        <v>12.7118644067797</v>
      </c>
      <c r="Q36" s="24" t="n">
        <f aca="false">IFERROR(365/P36,0)</f>
        <v>28.7133333333333</v>
      </c>
    </row>
    <row r="37" customFormat="false" ht="15" hidden="false" customHeight="false" outlineLevel="0" collapsed="false">
      <c r="A37" s="12" t="s">
        <v>53</v>
      </c>
      <c r="B37" s="12" t="s">
        <v>34</v>
      </c>
      <c r="C37" s="21" t="n">
        <f aca="false">Assumptions!$B$5*Assumptions!$B$13*Assumptions!$B$35/Assumptions!$B$39</f>
        <v>134615.384615385</v>
      </c>
      <c r="D37" s="22" t="n">
        <f aca="false">C37*1.0394</f>
        <v>139919.230769231</v>
      </c>
      <c r="E37" s="23" t="n">
        <f aca="false">IFERROR(D37/C37,0)</f>
        <v>1.0394</v>
      </c>
      <c r="F37" s="23" t="n">
        <f aca="false">Assumptions!$B$22</f>
        <v>0.5</v>
      </c>
      <c r="G37" s="21" t="n">
        <f aca="false">D37*F37</f>
        <v>69959.6153846154</v>
      </c>
      <c r="H37" s="21" t="n">
        <f aca="false">D37-G37</f>
        <v>69959.6153846154</v>
      </c>
      <c r="I37" s="23" t="n">
        <f aca="false">IFERROR(H37/D37,0)</f>
        <v>0.5</v>
      </c>
      <c r="J37" s="23" t="n">
        <f aca="false">Assumptions!$C$22</f>
        <v>0.8</v>
      </c>
      <c r="K37" s="21" t="n">
        <f aca="false">D37*J37</f>
        <v>111935.384615385</v>
      </c>
      <c r="L37" s="22" t="n">
        <f aca="false">(Assumptions!$D$22/Assumptions!$C$35)*K37*0.8835</f>
        <v>131859.883076923</v>
      </c>
      <c r="M37" s="12" t="n">
        <f aca="false">Assumptions!$C$35</f>
        <v>30</v>
      </c>
      <c r="N37" s="24" t="n">
        <f aca="false">IFERROR((L37/K37)*M37,0)</f>
        <v>35.34</v>
      </c>
      <c r="O37" s="22" t="n">
        <f aca="false">IFERROR((G37*12)/Assumptions!$E$22*0.9843,0)</f>
        <v>82633.4993076923</v>
      </c>
      <c r="P37" s="25" t="n">
        <f aca="false">IFERROR((G37*12)/O37,0)</f>
        <v>10.1595042161943</v>
      </c>
      <c r="Q37" s="24" t="n">
        <f aca="false">IFERROR(365/P37,0)</f>
        <v>35.92695</v>
      </c>
    </row>
    <row r="38" customFormat="false" ht="15" hidden="false" customHeight="false" outlineLevel="0" collapsed="false">
      <c r="A38" s="26" t="s">
        <v>54</v>
      </c>
      <c r="B38" s="26" t="s">
        <v>31</v>
      </c>
      <c r="C38" s="27" t="n">
        <f aca="false">Assumptions!$B$5*Assumptions!$B$10*Assumptions!$B$36/Assumptions!$B$39</f>
        <v>344017.094017094</v>
      </c>
      <c r="D38" s="28" t="n">
        <f aca="false">C38*0.9786</f>
        <v>336655.128205128</v>
      </c>
      <c r="E38" s="29" t="n">
        <f aca="false">IFERROR(D38/C38,0)</f>
        <v>0.9786</v>
      </c>
      <c r="F38" s="29" t="n">
        <f aca="false">Assumptions!$B$19</f>
        <v>0.55</v>
      </c>
      <c r="G38" s="27" t="n">
        <f aca="false">D38*F38</f>
        <v>185160.320512821</v>
      </c>
      <c r="H38" s="27" t="n">
        <f aca="false">D38-G38</f>
        <v>151494.807692308</v>
      </c>
      <c r="I38" s="29" t="n">
        <f aca="false">IFERROR(H38/D38,0)</f>
        <v>0.45</v>
      </c>
      <c r="J38" s="29" t="n">
        <f aca="false">Assumptions!$C$19</f>
        <v>0.85</v>
      </c>
      <c r="K38" s="27" t="n">
        <f aca="false">D38*J38</f>
        <v>286156.858974359</v>
      </c>
      <c r="L38" s="28" t="n">
        <f aca="false">(Assumptions!$D$19/Assumptions!$C$36)*K38*1.1361</f>
        <v>471923.43021402</v>
      </c>
      <c r="M38" s="26" t="n">
        <f aca="false">Assumptions!$C$36</f>
        <v>31</v>
      </c>
      <c r="N38" s="30" t="n">
        <f aca="false">IFERROR((L38/K38)*M38,0)</f>
        <v>51.1245</v>
      </c>
      <c r="O38" s="28" t="n">
        <f aca="false">IFERROR((G38*12)/Assumptions!$E$19*1.0902,0)</f>
        <v>302792.672134615</v>
      </c>
      <c r="P38" s="31" t="n">
        <f aca="false">IFERROR((G38*12)/O38,0)</f>
        <v>7.33810310034856</v>
      </c>
      <c r="Q38" s="30" t="n">
        <f aca="false">IFERROR(365/P38,0)</f>
        <v>49.740375</v>
      </c>
    </row>
    <row r="39" customFormat="false" ht="15" hidden="false" customHeight="false" outlineLevel="0" collapsed="false">
      <c r="A39" s="26" t="s">
        <v>54</v>
      </c>
      <c r="B39" s="26" t="s">
        <v>32</v>
      </c>
      <c r="C39" s="27" t="n">
        <f aca="false">Assumptions!$B$5*Assumptions!$B$11*Assumptions!$B$36/Assumptions!$B$39</f>
        <v>294871.794871795</v>
      </c>
      <c r="D39" s="28" t="n">
        <f aca="false">C39*0.9488</f>
        <v>279774.358974359</v>
      </c>
      <c r="E39" s="29" t="n">
        <f aca="false">IFERROR(D39/C39,0)</f>
        <v>0.9488</v>
      </c>
      <c r="F39" s="29" t="n">
        <f aca="false">Assumptions!$B$20</f>
        <v>0.6</v>
      </c>
      <c r="G39" s="27" t="n">
        <f aca="false">D39*F39</f>
        <v>167864.615384615</v>
      </c>
      <c r="H39" s="27" t="n">
        <f aca="false">D39-G39</f>
        <v>111909.743589744</v>
      </c>
      <c r="I39" s="29" t="n">
        <f aca="false">IFERROR(H39/D39,0)</f>
        <v>0.4</v>
      </c>
      <c r="J39" s="29" t="n">
        <f aca="false">Assumptions!$C$20</f>
        <v>0.9</v>
      </c>
      <c r="K39" s="27" t="n">
        <f aca="false">D39*J39</f>
        <v>251796.923076923</v>
      </c>
      <c r="L39" s="28" t="n">
        <f aca="false">(Assumptions!$D$20/Assumptions!$C$36)*K39*1.0002</f>
        <v>406205.294292804</v>
      </c>
      <c r="M39" s="26" t="n">
        <f aca="false">Assumptions!$C$36</f>
        <v>31</v>
      </c>
      <c r="N39" s="30" t="n">
        <f aca="false">IFERROR((L39/K39)*M39,0)</f>
        <v>50.01</v>
      </c>
      <c r="O39" s="28" t="n">
        <f aca="false">IFERROR((G39*12)/Assumptions!$E$20*0.9229,0)</f>
        <v>309844.507076923</v>
      </c>
      <c r="P39" s="31" t="n">
        <f aca="false">IFERROR((G39*12)/O39,0)</f>
        <v>6.50124607216383</v>
      </c>
      <c r="Q39" s="30" t="n">
        <f aca="false">IFERROR(365/P39,0)</f>
        <v>56.1430833333333</v>
      </c>
    </row>
    <row r="40" customFormat="false" ht="15" hidden="false" customHeight="false" outlineLevel="0" collapsed="false">
      <c r="A40" s="26" t="s">
        <v>54</v>
      </c>
      <c r="B40" s="26" t="s">
        <v>33</v>
      </c>
      <c r="C40" s="27" t="n">
        <f aca="false">Assumptions!$B$5*Assumptions!$B$12*Assumptions!$B$36/Assumptions!$B$39</f>
        <v>196581.196581197</v>
      </c>
      <c r="D40" s="28" t="n">
        <f aca="false">C40*1.087</f>
        <v>213683.760683761</v>
      </c>
      <c r="E40" s="29" t="n">
        <f aca="false">IFERROR(D40/C40,0)</f>
        <v>1.087</v>
      </c>
      <c r="F40" s="29" t="n">
        <f aca="false">Assumptions!$B$21</f>
        <v>0.4</v>
      </c>
      <c r="G40" s="27" t="n">
        <f aca="false">D40*F40</f>
        <v>85473.5042735043</v>
      </c>
      <c r="H40" s="27" t="n">
        <f aca="false">D40-G40</f>
        <v>128210.256410256</v>
      </c>
      <c r="I40" s="29" t="n">
        <f aca="false">IFERROR(H40/D40,0)</f>
        <v>0.6</v>
      </c>
      <c r="J40" s="29" t="n">
        <f aca="false">Assumptions!$C$21</f>
        <v>0.7</v>
      </c>
      <c r="K40" s="27" t="n">
        <f aca="false">D40*J40</f>
        <v>149578.632478632</v>
      </c>
      <c r="L40" s="28" t="n">
        <f aca="false">(Assumptions!$D$21/Assumptions!$C$36)*K40*1.1112</f>
        <v>160850.106203474</v>
      </c>
      <c r="M40" s="26" t="n">
        <f aca="false">Assumptions!$C$36</f>
        <v>31</v>
      </c>
      <c r="N40" s="30" t="n">
        <f aca="false">IFERROR((L40/K40)*M40,0)</f>
        <v>33.336</v>
      </c>
      <c r="O40" s="28" t="n">
        <f aca="false">IFERROR((G40*12)/Assumptions!$E$21*0.9516,0)</f>
        <v>81336.5866666667</v>
      </c>
      <c r="P40" s="31" t="n">
        <f aca="false">IFERROR((G40*12)/O40,0)</f>
        <v>12.6103404791929</v>
      </c>
      <c r="Q40" s="30" t="n">
        <f aca="false">IFERROR(365/P40,0)</f>
        <v>28.9445</v>
      </c>
    </row>
    <row r="41" customFormat="false" ht="15" hidden="false" customHeight="false" outlineLevel="0" collapsed="false">
      <c r="A41" s="26" t="s">
        <v>54</v>
      </c>
      <c r="B41" s="26" t="s">
        <v>34</v>
      </c>
      <c r="C41" s="27" t="n">
        <f aca="false">Assumptions!$B$5*Assumptions!$B$13*Assumptions!$B$36/Assumptions!$B$39</f>
        <v>147435.897435897</v>
      </c>
      <c r="D41" s="28" t="n">
        <f aca="false">C41*1.0404</f>
        <v>153392.307692308</v>
      </c>
      <c r="E41" s="29" t="n">
        <f aca="false">IFERROR(D41/C41,0)</f>
        <v>1.0404</v>
      </c>
      <c r="F41" s="29" t="n">
        <f aca="false">Assumptions!$B$22</f>
        <v>0.5</v>
      </c>
      <c r="G41" s="27" t="n">
        <f aca="false">D41*F41</f>
        <v>76696.1538461538</v>
      </c>
      <c r="H41" s="27" t="n">
        <f aca="false">D41-G41</f>
        <v>76696.1538461538</v>
      </c>
      <c r="I41" s="29" t="n">
        <f aca="false">IFERROR(H41/D41,0)</f>
        <v>0.5</v>
      </c>
      <c r="J41" s="29" t="n">
        <f aca="false">Assumptions!$C$22</f>
        <v>0.8</v>
      </c>
      <c r="K41" s="27" t="n">
        <f aca="false">D41*J41</f>
        <v>122713.846153846</v>
      </c>
      <c r="L41" s="28" t="n">
        <f aca="false">(Assumptions!$D$22/Assumptions!$C$36)*K41*1.0327</f>
        <v>163518.179255583</v>
      </c>
      <c r="M41" s="26" t="n">
        <f aca="false">Assumptions!$C$36</f>
        <v>31</v>
      </c>
      <c r="N41" s="30" t="n">
        <f aca="false">IFERROR((L41/K41)*M41,0)</f>
        <v>41.308</v>
      </c>
      <c r="O41" s="28" t="n">
        <f aca="false">IFERROR((G41*12)/Assumptions!$E$22*0.9167,0)</f>
        <v>84368.8370769231</v>
      </c>
      <c r="P41" s="31" t="n">
        <f aca="false">IFERROR((G41*12)/O41,0)</f>
        <v>10.9086942293008</v>
      </c>
      <c r="Q41" s="30" t="n">
        <f aca="false">IFERROR(365/P41,0)</f>
        <v>33.45955</v>
      </c>
    </row>
    <row r="42" customFormat="false" ht="15" hidden="false" customHeight="false" outlineLevel="0" collapsed="false">
      <c r="A42" s="12" t="s">
        <v>55</v>
      </c>
      <c r="B42" s="12" t="s">
        <v>31</v>
      </c>
      <c r="C42" s="21" t="n">
        <f aca="false">Assumptions!$B$5*Assumptions!$B$10*Assumptions!$B$37/Assumptions!$B$39</f>
        <v>373931.623931624</v>
      </c>
      <c r="D42" s="22" t="n">
        <f aca="false">C42*1.0381</f>
        <v>388178.418803419</v>
      </c>
      <c r="E42" s="23" t="n">
        <f aca="false">IFERROR(D42/C42,0)</f>
        <v>1.0381</v>
      </c>
      <c r="F42" s="23" t="n">
        <f aca="false">Assumptions!$B$19</f>
        <v>0.55</v>
      </c>
      <c r="G42" s="21" t="n">
        <f aca="false">D42*F42</f>
        <v>213498.13034188</v>
      </c>
      <c r="H42" s="21" t="n">
        <f aca="false">D42-G42</f>
        <v>174680.288461538</v>
      </c>
      <c r="I42" s="23" t="n">
        <f aca="false">IFERROR(H42/D42,0)</f>
        <v>0.45</v>
      </c>
      <c r="J42" s="23" t="n">
        <f aca="false">Assumptions!$C$19</f>
        <v>0.85</v>
      </c>
      <c r="K42" s="21" t="n">
        <f aca="false">D42*J42</f>
        <v>329951.655982906</v>
      </c>
      <c r="L42" s="22" t="n">
        <f aca="false">(Assumptions!$D$19/Assumptions!$C$37)*K42*1.0118</f>
        <v>500767.628285256</v>
      </c>
      <c r="M42" s="12" t="n">
        <f aca="false">Assumptions!$C$37</f>
        <v>30</v>
      </c>
      <c r="N42" s="24" t="n">
        <f aca="false">IFERROR((L42/K42)*M42,0)</f>
        <v>45.531</v>
      </c>
      <c r="O42" s="22" t="n">
        <f aca="false">IFERROR((G42*12)/Assumptions!$E$19*1.0669,0)</f>
        <v>341671.732892628</v>
      </c>
      <c r="P42" s="25" t="n">
        <f aca="false">IFERROR((G42*12)/O42,0)</f>
        <v>7.49835973380823</v>
      </c>
      <c r="Q42" s="24" t="n">
        <f aca="false">IFERROR(365/P42,0)</f>
        <v>48.6773125</v>
      </c>
    </row>
    <row r="43" customFormat="false" ht="15" hidden="false" customHeight="false" outlineLevel="0" collapsed="false">
      <c r="A43" s="12" t="s">
        <v>55</v>
      </c>
      <c r="B43" s="12" t="s">
        <v>32</v>
      </c>
      <c r="C43" s="21" t="n">
        <f aca="false">Assumptions!$B$5*Assumptions!$B$11*Assumptions!$B$37/Assumptions!$B$39</f>
        <v>320512.820512821</v>
      </c>
      <c r="D43" s="22" t="n">
        <f aca="false">C43*1.0015</f>
        <v>320993.58974359</v>
      </c>
      <c r="E43" s="23" t="n">
        <f aca="false">IFERROR(D43/C43,0)</f>
        <v>1.0015</v>
      </c>
      <c r="F43" s="23" t="n">
        <f aca="false">Assumptions!$B$20</f>
        <v>0.6</v>
      </c>
      <c r="G43" s="21" t="n">
        <f aca="false">D43*F43</f>
        <v>192596.153846154</v>
      </c>
      <c r="H43" s="21" t="n">
        <f aca="false">D43-G43</f>
        <v>128397.435897436</v>
      </c>
      <c r="I43" s="23" t="n">
        <f aca="false">IFERROR(H43/D43,0)</f>
        <v>0.4</v>
      </c>
      <c r="J43" s="23" t="n">
        <f aca="false">Assumptions!$C$20</f>
        <v>0.9</v>
      </c>
      <c r="K43" s="21" t="n">
        <f aca="false">D43*J43</f>
        <v>288894.230769231</v>
      </c>
      <c r="L43" s="22" t="n">
        <f aca="false">(Assumptions!$D$20/Assumptions!$C$37)*K43*0.8502</f>
        <v>409363.125</v>
      </c>
      <c r="M43" s="12" t="n">
        <f aca="false">Assumptions!$C$37</f>
        <v>30</v>
      </c>
      <c r="N43" s="24" t="n">
        <f aca="false">IFERROR((L43/K43)*M43,0)</f>
        <v>42.51</v>
      </c>
      <c r="O43" s="22" t="n">
        <f aca="false">IFERROR((G43*12)/Assumptions!$E$20*0.9578,0)</f>
        <v>368937.192307692</v>
      </c>
      <c r="P43" s="25" t="n">
        <f aca="false">IFERROR((G43*12)/O43,0)</f>
        <v>6.26435581541032</v>
      </c>
      <c r="Q43" s="24" t="n">
        <f aca="false">IFERROR(365/P43,0)</f>
        <v>58.2661666666667</v>
      </c>
    </row>
    <row r="44" customFormat="false" ht="15" hidden="false" customHeight="false" outlineLevel="0" collapsed="false">
      <c r="A44" s="12" t="s">
        <v>55</v>
      </c>
      <c r="B44" s="12" t="s">
        <v>33</v>
      </c>
      <c r="C44" s="21" t="n">
        <f aca="false">Assumptions!$B$5*Assumptions!$B$12*Assumptions!$B$37/Assumptions!$B$39</f>
        <v>213675.213675214</v>
      </c>
      <c r="D44" s="22" t="n">
        <f aca="false">C44*0.908</f>
        <v>194017.094017094</v>
      </c>
      <c r="E44" s="23" t="n">
        <f aca="false">IFERROR(D44/C44,0)</f>
        <v>0.908</v>
      </c>
      <c r="F44" s="23" t="n">
        <f aca="false">Assumptions!$B$21</f>
        <v>0.4</v>
      </c>
      <c r="G44" s="21" t="n">
        <f aca="false">D44*F44</f>
        <v>77606.8376068376</v>
      </c>
      <c r="H44" s="21" t="n">
        <f aca="false">D44-G44</f>
        <v>116410.256410256</v>
      </c>
      <c r="I44" s="23" t="n">
        <f aca="false">IFERROR(H44/D44,0)</f>
        <v>0.6</v>
      </c>
      <c r="J44" s="23" t="n">
        <f aca="false">Assumptions!$C$21</f>
        <v>0.7</v>
      </c>
      <c r="K44" s="21" t="n">
        <f aca="false">D44*J44</f>
        <v>135811.965811966</v>
      </c>
      <c r="L44" s="22" t="n">
        <f aca="false">(Assumptions!$D$21/Assumptions!$C$37)*K44*1.1287</f>
        <v>153290.965811966</v>
      </c>
      <c r="M44" s="12" t="n">
        <f aca="false">Assumptions!$C$37</f>
        <v>30</v>
      </c>
      <c r="N44" s="24" t="n">
        <f aca="false">IFERROR((L44/K44)*M44,0)</f>
        <v>33.861</v>
      </c>
      <c r="O44" s="22" t="n">
        <f aca="false">IFERROR((G44*12)/Assumptions!$E$21*1.0909,0)</f>
        <v>84661.2991452991</v>
      </c>
      <c r="P44" s="25" t="n">
        <f aca="false">IFERROR((G44*12)/O44,0)</f>
        <v>11.0000916674306</v>
      </c>
      <c r="Q44" s="24" t="n">
        <f aca="false">IFERROR(365/P44,0)</f>
        <v>33.1815416666667</v>
      </c>
    </row>
    <row r="45" customFormat="false" ht="15" hidden="false" customHeight="false" outlineLevel="0" collapsed="false">
      <c r="A45" s="12" t="s">
        <v>55</v>
      </c>
      <c r="B45" s="12" t="s">
        <v>34</v>
      </c>
      <c r="C45" s="21" t="n">
        <f aca="false">Assumptions!$B$5*Assumptions!$B$13*Assumptions!$B$37/Assumptions!$B$39</f>
        <v>160256.41025641</v>
      </c>
      <c r="D45" s="22" t="n">
        <f aca="false">C45*1.0809</f>
        <v>173221.153846154</v>
      </c>
      <c r="E45" s="23" t="n">
        <f aca="false">IFERROR(D45/C45,0)</f>
        <v>1.0809</v>
      </c>
      <c r="F45" s="23" t="n">
        <f aca="false">Assumptions!$B$22</f>
        <v>0.5</v>
      </c>
      <c r="G45" s="21" t="n">
        <f aca="false">D45*F45</f>
        <v>86610.5769230769</v>
      </c>
      <c r="H45" s="21" t="n">
        <f aca="false">D45-G45</f>
        <v>86610.5769230769</v>
      </c>
      <c r="I45" s="23" t="n">
        <f aca="false">IFERROR(H45/D45,0)</f>
        <v>0.5</v>
      </c>
      <c r="J45" s="23" t="n">
        <f aca="false">Assumptions!$C$22</f>
        <v>0.8</v>
      </c>
      <c r="K45" s="21" t="n">
        <f aca="false">D45*J45</f>
        <v>138576.923076923</v>
      </c>
      <c r="L45" s="22" t="n">
        <f aca="false">(Assumptions!$D$22/Assumptions!$C$37)*K45*0.9423</f>
        <v>174108.046153846</v>
      </c>
      <c r="M45" s="12" t="n">
        <f aca="false">Assumptions!$C$37</f>
        <v>30</v>
      </c>
      <c r="N45" s="24" t="n">
        <f aca="false">IFERROR((L45/K45)*M45,0)</f>
        <v>37.692</v>
      </c>
      <c r="O45" s="22" t="n">
        <f aca="false">IFERROR((G45*12)/Assumptions!$E$22*0.8939,0)</f>
        <v>92905.4336538462</v>
      </c>
      <c r="P45" s="25" t="n">
        <f aca="false">IFERROR((G45*12)/O45,0)</f>
        <v>11.1869336614834</v>
      </c>
      <c r="Q45" s="24" t="n">
        <f aca="false">IFERROR(365/P45,0)</f>
        <v>32.62735</v>
      </c>
    </row>
    <row r="46" customFormat="false" ht="15" hidden="false" customHeight="false" outlineLevel="0" collapsed="false">
      <c r="A46" s="26" t="s">
        <v>56</v>
      </c>
      <c r="B46" s="26" t="s">
        <v>31</v>
      </c>
      <c r="C46" s="27" t="n">
        <f aca="false">Assumptions!$B$5*Assumptions!$B$10*Assumptions!$B$38/Assumptions!$B$39</f>
        <v>403846.153846154</v>
      </c>
      <c r="D46" s="28" t="n">
        <f aca="false">C46*1.0595</f>
        <v>427875</v>
      </c>
      <c r="E46" s="29" t="n">
        <f aca="false">IFERROR(D46/C46,0)</f>
        <v>1.0595</v>
      </c>
      <c r="F46" s="29" t="n">
        <f aca="false">Assumptions!$B$19</f>
        <v>0.55</v>
      </c>
      <c r="G46" s="27" t="n">
        <f aca="false">D46*F46</f>
        <v>235331.25</v>
      </c>
      <c r="H46" s="27" t="n">
        <f aca="false">D46-G46</f>
        <v>192543.75</v>
      </c>
      <c r="I46" s="29" t="n">
        <f aca="false">IFERROR(H46/D46,0)</f>
        <v>0.45</v>
      </c>
      <c r="J46" s="29" t="n">
        <f aca="false">Assumptions!$C$19</f>
        <v>0.85</v>
      </c>
      <c r="K46" s="27" t="n">
        <f aca="false">D46*J46</f>
        <v>363693.75</v>
      </c>
      <c r="L46" s="28" t="n">
        <f aca="false">(Assumptions!$D$19/Assumptions!$C$38)*K46*1.1341</f>
        <v>598739.634979839</v>
      </c>
      <c r="M46" s="26" t="n">
        <f aca="false">Assumptions!$C$38</f>
        <v>31</v>
      </c>
      <c r="N46" s="30" t="n">
        <f aca="false">IFERROR((L46/K46)*M46,0)</f>
        <v>51.0345</v>
      </c>
      <c r="O46" s="28" t="n">
        <f aca="false">IFERROR((G46*12)/Assumptions!$E$19*0.9006,0)</f>
        <v>317908.985625</v>
      </c>
      <c r="P46" s="31" t="n">
        <f aca="false">IFERROR((G46*12)/O46,0)</f>
        <v>8.88296691094826</v>
      </c>
      <c r="Q46" s="30" t="n">
        <f aca="false">IFERROR(365/P46,0)</f>
        <v>41.089875</v>
      </c>
    </row>
    <row r="47" customFormat="false" ht="15" hidden="false" customHeight="false" outlineLevel="0" collapsed="false">
      <c r="A47" s="26" t="s">
        <v>56</v>
      </c>
      <c r="B47" s="26" t="s">
        <v>32</v>
      </c>
      <c r="C47" s="27" t="n">
        <f aca="false">Assumptions!$B$5*Assumptions!$B$11*Assumptions!$B$38/Assumptions!$B$39</f>
        <v>346153.846153846</v>
      </c>
      <c r="D47" s="28" t="n">
        <f aca="false">C47*0.9922</f>
        <v>343453.846153846</v>
      </c>
      <c r="E47" s="29" t="n">
        <f aca="false">IFERROR(D47/C47,0)</f>
        <v>0.9922</v>
      </c>
      <c r="F47" s="29" t="n">
        <f aca="false">Assumptions!$B$20</f>
        <v>0.6</v>
      </c>
      <c r="G47" s="27" t="n">
        <f aca="false">D47*F47</f>
        <v>206072.307692308</v>
      </c>
      <c r="H47" s="27" t="n">
        <f aca="false">D47-G47</f>
        <v>137381.538461539</v>
      </c>
      <c r="I47" s="29" t="n">
        <f aca="false">IFERROR(H47/D47,0)</f>
        <v>0.4</v>
      </c>
      <c r="J47" s="29" t="n">
        <f aca="false">Assumptions!$C$20</f>
        <v>0.9</v>
      </c>
      <c r="K47" s="27" t="n">
        <f aca="false">D47*J47</f>
        <v>309108.461538462</v>
      </c>
      <c r="L47" s="28" t="n">
        <f aca="false">(Assumptions!$D$20/Assumptions!$C$38)*K47*0.8708</f>
        <v>434147.819851117</v>
      </c>
      <c r="M47" s="26" t="n">
        <f aca="false">Assumptions!$C$38</f>
        <v>31</v>
      </c>
      <c r="N47" s="30" t="n">
        <f aca="false">IFERROR((L47/K47)*M47,0)</f>
        <v>43.54</v>
      </c>
      <c r="O47" s="28" t="n">
        <f aca="false">IFERROR((G47*12)/Assumptions!$E$20*1.0625,0)</f>
        <v>437903.653846154</v>
      </c>
      <c r="P47" s="31" t="n">
        <f aca="false">IFERROR((G47*12)/O47,0)</f>
        <v>5.64705882352941</v>
      </c>
      <c r="Q47" s="30" t="n">
        <f aca="false">IFERROR(365/P47,0)</f>
        <v>64.6354166666667</v>
      </c>
    </row>
    <row r="48" customFormat="false" ht="15" hidden="false" customHeight="false" outlineLevel="0" collapsed="false">
      <c r="A48" s="26" t="s">
        <v>56</v>
      </c>
      <c r="B48" s="26" t="s">
        <v>33</v>
      </c>
      <c r="C48" s="27" t="n">
        <f aca="false">Assumptions!$B$5*Assumptions!$B$12*Assumptions!$B$38/Assumptions!$B$39</f>
        <v>230769.230769231</v>
      </c>
      <c r="D48" s="28" t="n">
        <f aca="false">C48*1.0584</f>
        <v>244246.153846154</v>
      </c>
      <c r="E48" s="29" t="n">
        <f aca="false">IFERROR(D48/C48,0)</f>
        <v>1.0584</v>
      </c>
      <c r="F48" s="29" t="n">
        <f aca="false">Assumptions!$B$21</f>
        <v>0.4</v>
      </c>
      <c r="G48" s="27" t="n">
        <f aca="false">D48*F48</f>
        <v>97698.4615384616</v>
      </c>
      <c r="H48" s="27" t="n">
        <f aca="false">D48-G48</f>
        <v>146547.692307692</v>
      </c>
      <c r="I48" s="29" t="n">
        <f aca="false">IFERROR(H48/D48,0)</f>
        <v>0.6</v>
      </c>
      <c r="J48" s="29" t="n">
        <f aca="false">Assumptions!$C$21</f>
        <v>0.7</v>
      </c>
      <c r="K48" s="27" t="n">
        <f aca="false">D48*J48</f>
        <v>170972.307692308</v>
      </c>
      <c r="L48" s="28" t="n">
        <f aca="false">(Assumptions!$D$21/Assumptions!$C$38)*K48*0.8885</f>
        <v>147008.608436725</v>
      </c>
      <c r="M48" s="26" t="n">
        <f aca="false">Assumptions!$C$38</f>
        <v>31</v>
      </c>
      <c r="N48" s="30" t="n">
        <f aca="false">IFERROR((L48/K48)*M48,0)</f>
        <v>26.655</v>
      </c>
      <c r="O48" s="28" t="n">
        <f aca="false">IFERROR((G48*12)/Assumptions!$E$21*0.9941,0)</f>
        <v>97122.0406153846</v>
      </c>
      <c r="P48" s="31" t="n">
        <f aca="false">IFERROR((G48*12)/O48,0)</f>
        <v>12.0712201991751</v>
      </c>
      <c r="Q48" s="30" t="n">
        <f aca="false">IFERROR(365/P48,0)</f>
        <v>30.2372083333333</v>
      </c>
    </row>
    <row r="49" customFormat="false" ht="15" hidden="false" customHeight="false" outlineLevel="0" collapsed="false">
      <c r="A49" s="26" t="s">
        <v>56</v>
      </c>
      <c r="B49" s="26" t="s">
        <v>34</v>
      </c>
      <c r="C49" s="27" t="n">
        <f aca="false">Assumptions!$B$5*Assumptions!$B$13*Assumptions!$B$38/Assumptions!$B$39</f>
        <v>173076.923076923</v>
      </c>
      <c r="D49" s="28" t="n">
        <f aca="false">C49*1.0251</f>
        <v>177421.153846154</v>
      </c>
      <c r="E49" s="29" t="n">
        <f aca="false">IFERROR(D49/C49,0)</f>
        <v>1.0251</v>
      </c>
      <c r="F49" s="29" t="n">
        <f aca="false">Assumptions!$B$22</f>
        <v>0.5</v>
      </c>
      <c r="G49" s="27" t="n">
        <f aca="false">D49*F49</f>
        <v>88710.5769230769</v>
      </c>
      <c r="H49" s="27" t="n">
        <f aca="false">D49-G49</f>
        <v>88710.5769230769</v>
      </c>
      <c r="I49" s="29" t="n">
        <f aca="false">IFERROR(H49/D49,0)</f>
        <v>0.5</v>
      </c>
      <c r="J49" s="29" t="n">
        <f aca="false">Assumptions!$C$22</f>
        <v>0.8</v>
      </c>
      <c r="K49" s="27" t="n">
        <f aca="false">D49*J49</f>
        <v>141936.923076923</v>
      </c>
      <c r="L49" s="28" t="n">
        <f aca="false">(Assumptions!$D$22/Assumptions!$C$38)*K49*0.9295</f>
        <v>170232.735483871</v>
      </c>
      <c r="M49" s="26" t="n">
        <f aca="false">Assumptions!$C$38</f>
        <v>31</v>
      </c>
      <c r="N49" s="30" t="n">
        <f aca="false">IFERROR((L49/K49)*M49,0)</f>
        <v>37.18</v>
      </c>
      <c r="O49" s="28" t="n">
        <f aca="false">IFERROR((G49*12)/Assumptions!$E$22*1.0894,0)</f>
        <v>115969.563</v>
      </c>
      <c r="P49" s="31" t="n">
        <f aca="false">IFERROR((G49*12)/O49,0)</f>
        <v>9.17936478795667</v>
      </c>
      <c r="Q49" s="30" t="n">
        <f aca="false">IFERROR(365/P49,0)</f>
        <v>39.7631</v>
      </c>
    </row>
    <row r="51" customFormat="false" ht="15" hidden="false" customHeight="false" outlineLevel="0" collapsed="false">
      <c r="A51" s="6" t="s">
        <v>69</v>
      </c>
    </row>
  </sheetData>
  <autoFilter ref="A1:Q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7"/>
    <col collapsed="false" customWidth="true" hidden="false" outlineLevel="0" max="4" min="4" style="0" width="12"/>
    <col collapsed="false" customWidth="true" hidden="false" outlineLevel="0" max="7" min="5" style="0" width="15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15"/>
  </cols>
  <sheetData>
    <row r="1" customFormat="false" ht="22.0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30" hidden="false" customHeight="true" outlineLevel="0" collapsed="false">
      <c r="A4" s="11" t="s">
        <v>42</v>
      </c>
      <c r="B4" s="11" t="s">
        <v>57</v>
      </c>
      <c r="C4" s="11" t="s">
        <v>58</v>
      </c>
      <c r="D4" s="11" t="s">
        <v>59</v>
      </c>
      <c r="E4" s="11" t="s">
        <v>72</v>
      </c>
      <c r="F4" s="11" t="s">
        <v>73</v>
      </c>
      <c r="G4" s="11" t="s">
        <v>61</v>
      </c>
      <c r="H4" s="11" t="s">
        <v>62</v>
      </c>
      <c r="I4" s="11" t="s">
        <v>74</v>
      </c>
      <c r="J4" s="11" t="s">
        <v>64</v>
      </c>
      <c r="K4" s="11" t="s">
        <v>75</v>
      </c>
      <c r="L4" s="11" t="s">
        <v>66</v>
      </c>
      <c r="M4" s="11" t="s">
        <v>67</v>
      </c>
    </row>
    <row r="5" customFormat="false" ht="15" hidden="false" customHeight="false" outlineLevel="0" collapsed="false">
      <c r="A5" s="12" t="s">
        <v>45</v>
      </c>
      <c r="B5" s="21" t="n">
        <f aca="false">SUMIF('Monthly Data'!$A$2:$A$49,$A5,'Monthly Data'!$C$2:$C$49)</f>
        <v>769230.769230769</v>
      </c>
      <c r="C5" s="21" t="n">
        <f aca="false">SUMIF('Monthly Data'!$A$2:$A$49,$A5,'Monthly Data'!$D$2:$D$49)</f>
        <v>765173.076923077</v>
      </c>
      <c r="D5" s="23" t="n">
        <f aca="false">IFERROR(C5/B5,0)</f>
        <v>0.994725</v>
      </c>
      <c r="E5" s="21" t="n">
        <f aca="false">C5-B5</f>
        <v>-4057.69230769225</v>
      </c>
      <c r="F5" s="21" t="n">
        <f aca="false">SUMIF('Monthly Data'!$A$2:$A$49,$A5,'Monthly Data'!$G$2:$G$49)</f>
        <v>401631.346153846</v>
      </c>
      <c r="G5" s="21" t="n">
        <f aca="false">SUMIF('Monthly Data'!$A$2:$A$49,$A5,'Monthly Data'!$H$2:$H$49)</f>
        <v>363541.730769231</v>
      </c>
      <c r="H5" s="23" t="n">
        <f aca="false">IFERROR(G5/C5,0)</f>
        <v>0.475110457664179</v>
      </c>
      <c r="I5" s="21" t="n">
        <f aca="false">SUMIF('Monthly Data'!$A$2:$A$49,$A5,'Monthly Data'!$K$2:$K$49)</f>
        <v>631183.269230769</v>
      </c>
      <c r="J5" s="21" t="n">
        <f aca="false">SUMIF('Monthly Data'!$A$2:$A$49,$A5,'Monthly Data'!$L$2:$L$49)</f>
        <v>828936.836845534</v>
      </c>
      <c r="K5" s="24" t="n">
        <f aca="false">IFERROR((J5/I5)*AVERAGEIF('Monthly Data'!$A$2:$A$49,$A5,'Monthly Data'!$M$2:$M$49),0)</f>
        <v>40.7124890580969</v>
      </c>
      <c r="L5" s="21" t="n">
        <f aca="false">SUMIF('Monthly Data'!$A$2:$A$49,$A5,'Monthly Data'!$O$2:$O$49)</f>
        <v>616582.834038462</v>
      </c>
      <c r="M5" s="25" t="n">
        <f aca="false">IFERROR((F5*12)/L5,0)</f>
        <v>7.81659152311969</v>
      </c>
    </row>
    <row r="6" customFormat="false" ht="15" hidden="false" customHeight="false" outlineLevel="0" collapsed="false">
      <c r="A6" s="26" t="s">
        <v>46</v>
      </c>
      <c r="B6" s="27" t="n">
        <f aca="false">SUMIF('Monthly Data'!$A$2:$A$49,$A6,'Monthly Data'!$C$2:$C$49)</f>
        <v>752136.752136752</v>
      </c>
      <c r="C6" s="27" t="n">
        <f aca="false">SUMIF('Monthly Data'!$A$2:$A$49,$A6,'Monthly Data'!$D$2:$D$49)</f>
        <v>742821.538461539</v>
      </c>
      <c r="D6" s="29" t="n">
        <f aca="false">IFERROR(C6/B6,0)</f>
        <v>0.987615</v>
      </c>
      <c r="E6" s="27" t="n">
        <f aca="false">C6-B6</f>
        <v>-9315.21367521363</v>
      </c>
      <c r="F6" s="27" t="n">
        <f aca="false">SUMIF('Monthly Data'!$A$2:$A$49,$A6,'Monthly Data'!$G$2:$G$49)</f>
        <v>390085.384615385</v>
      </c>
      <c r="G6" s="27" t="n">
        <f aca="false">SUMIF('Monthly Data'!$A$2:$A$49,$A6,'Monthly Data'!$H$2:$H$49)</f>
        <v>352736.153846154</v>
      </c>
      <c r="H6" s="29" t="n">
        <f aca="false">IFERROR(G6/C6,0)</f>
        <v>0.47485988973436</v>
      </c>
      <c r="I6" s="27" t="n">
        <f aca="false">SUMIF('Monthly Data'!$A$2:$A$49,$A6,'Monthly Data'!$K$2:$K$49)</f>
        <v>612931.846153846</v>
      </c>
      <c r="J6" s="27" t="n">
        <f aca="false">SUMIF('Monthly Data'!$A$2:$A$49,$A6,'Monthly Data'!$L$2:$L$49)</f>
        <v>860709.085852564</v>
      </c>
      <c r="K6" s="30" t="n">
        <f aca="false">IFERROR((J6/I6)*AVERAGEIF('Monthly Data'!$A$2:$A$49,$A6,'Monthly Data'!$M$2:$M$49),0)</f>
        <v>39.3189790269483</v>
      </c>
      <c r="L6" s="27" t="n">
        <f aca="false">SUMIF('Monthly Data'!$A$2:$A$49,$A6,'Monthly Data'!$O$2:$O$49)</f>
        <v>615592.889661539</v>
      </c>
      <c r="M6" s="31" t="n">
        <f aca="false">IFERROR((F6*12)/L6,0)</f>
        <v>7.6040914279538</v>
      </c>
    </row>
    <row r="7" customFormat="false" ht="15" hidden="false" customHeight="false" outlineLevel="0" collapsed="false">
      <c r="A7" s="12" t="s">
        <v>47</v>
      </c>
      <c r="B7" s="21" t="n">
        <f aca="false">SUMIF('Monthly Data'!$A$2:$A$49,$A7,'Monthly Data'!$C$2:$C$49)</f>
        <v>811965.811965812</v>
      </c>
      <c r="C7" s="21" t="n">
        <f aca="false">SUMIF('Monthly Data'!$A$2:$A$49,$A7,'Monthly Data'!$D$2:$D$49)</f>
        <v>839284.401709402</v>
      </c>
      <c r="D7" s="23" t="n">
        <f aca="false">IFERROR(C7/B7,0)</f>
        <v>1.033645</v>
      </c>
      <c r="E7" s="21" t="n">
        <f aca="false">C7-B7</f>
        <v>27318.5897435898</v>
      </c>
      <c r="F7" s="21" t="n">
        <f aca="false">SUMIF('Monthly Data'!$A$2:$A$49,$A7,'Monthly Data'!$G$2:$G$49)</f>
        <v>440230.202991453</v>
      </c>
      <c r="G7" s="21" t="n">
        <f aca="false">SUMIF('Monthly Data'!$A$2:$A$49,$A7,'Monthly Data'!$H$2:$H$49)</f>
        <v>399054.198717949</v>
      </c>
      <c r="H7" s="23" t="n">
        <f aca="false">IFERROR(G7/C7,0)</f>
        <v>0.475469576111721</v>
      </c>
      <c r="I7" s="21" t="n">
        <f aca="false">SUMIF('Monthly Data'!$A$2:$A$49,$A7,'Monthly Data'!$K$2:$K$49)</f>
        <v>692015.523504274</v>
      </c>
      <c r="J7" s="21" t="n">
        <f aca="false">SUMIF('Monthly Data'!$A$2:$A$49,$A7,'Monthly Data'!$L$2:$L$49)</f>
        <v>979500.026163152</v>
      </c>
      <c r="K7" s="24" t="n">
        <f aca="false">IFERROR((J7/I7)*AVERAGEIF('Monthly Data'!$A$2:$A$49,$A7,'Monthly Data'!$M$2:$M$49),0)</f>
        <v>43.8783521174438</v>
      </c>
      <c r="L7" s="21" t="n">
        <f aca="false">SUMIF('Monthly Data'!$A$2:$A$49,$A7,'Monthly Data'!$O$2:$O$49)</f>
        <v>656263.655439637</v>
      </c>
      <c r="M7" s="25" t="n">
        <f aca="false">IFERROR((F7*12)/L7,0)</f>
        <v>8.04975621019035</v>
      </c>
    </row>
    <row r="8" customFormat="false" ht="15" hidden="false" customHeight="false" outlineLevel="0" collapsed="false">
      <c r="A8" s="26" t="s">
        <v>48</v>
      </c>
      <c r="B8" s="27" t="n">
        <f aca="false">SUMIF('Monthly Data'!$A$2:$A$49,$A8,'Monthly Data'!$C$2:$C$49)</f>
        <v>786324.786324786</v>
      </c>
      <c r="C8" s="27" t="n">
        <f aca="false">SUMIF('Monthly Data'!$A$2:$A$49,$A8,'Monthly Data'!$D$2:$D$49)</f>
        <v>792375.555555556</v>
      </c>
      <c r="D8" s="29" t="n">
        <f aca="false">IFERROR(C8/B8,0)</f>
        <v>1.007695</v>
      </c>
      <c r="E8" s="27" t="n">
        <f aca="false">C8-B8</f>
        <v>6050.76923076925</v>
      </c>
      <c r="F8" s="27" t="n">
        <f aca="false">SUMIF('Monthly Data'!$A$2:$A$49,$A8,'Monthly Data'!$G$2:$G$49)</f>
        <v>419825.683760684</v>
      </c>
      <c r="G8" s="27" t="n">
        <f aca="false">SUMIF('Monthly Data'!$A$2:$A$49,$A8,'Monthly Data'!$H$2:$H$49)</f>
        <v>372549.871794872</v>
      </c>
      <c r="H8" s="29" t="n">
        <f aca="false">IFERROR(G8/C8,0)</f>
        <v>0.470168304893842</v>
      </c>
      <c r="I8" s="27" t="n">
        <f aca="false">SUMIF('Monthly Data'!$A$2:$A$49,$A8,'Monthly Data'!$K$2:$K$49)</f>
        <v>657538.350427351</v>
      </c>
      <c r="J8" s="27" t="n">
        <f aca="false">SUMIF('Monthly Data'!$A$2:$A$49,$A8,'Monthly Data'!$L$2:$L$49)</f>
        <v>969516.637683761</v>
      </c>
      <c r="K8" s="30" t="n">
        <f aca="false">IFERROR((J8/I8)*AVERAGEIF('Monthly Data'!$A$2:$A$49,$A8,'Monthly Data'!$M$2:$M$49),0)</f>
        <v>44.2339205182624</v>
      </c>
      <c r="L8" s="27" t="n">
        <f aca="false">SUMIF('Monthly Data'!$A$2:$A$49,$A8,'Monthly Data'!$O$2:$O$49)</f>
        <v>634948.517762393</v>
      </c>
      <c r="M8" s="31" t="n">
        <f aca="false">IFERROR((F8*12)/L8,0)</f>
        <v>7.93435698201514</v>
      </c>
    </row>
    <row r="9" customFormat="false" ht="15" hidden="false" customHeight="false" outlineLevel="0" collapsed="false">
      <c r="A9" s="12" t="s">
        <v>49</v>
      </c>
      <c r="B9" s="21" t="n">
        <f aca="false">SUMIF('Monthly Data'!$A$2:$A$49,$A9,'Monthly Data'!$C$2:$C$49)</f>
        <v>769230.769230769</v>
      </c>
      <c r="C9" s="21" t="n">
        <f aca="false">SUMIF('Monthly Data'!$A$2:$A$49,$A9,'Monthly Data'!$D$2:$D$49)</f>
        <v>772007.692307692</v>
      </c>
      <c r="D9" s="23" t="n">
        <f aca="false">IFERROR(C9/B9,0)</f>
        <v>1.00361</v>
      </c>
      <c r="E9" s="21" t="n">
        <f aca="false">C9-B9</f>
        <v>2776.92307692312</v>
      </c>
      <c r="F9" s="21" t="n">
        <f aca="false">SUMIF('Monthly Data'!$A$2:$A$49,$A9,'Monthly Data'!$G$2:$G$49)</f>
        <v>405582.5</v>
      </c>
      <c r="G9" s="21" t="n">
        <f aca="false">SUMIF('Monthly Data'!$A$2:$A$49,$A9,'Monthly Data'!$H$2:$H$49)</f>
        <v>366425.192307692</v>
      </c>
      <c r="H9" s="23" t="n">
        <f aca="false">IFERROR(G9/C9,0)</f>
        <v>0.474639302119349</v>
      </c>
      <c r="I9" s="21" t="n">
        <f aca="false">SUMIF('Monthly Data'!$A$2:$A$49,$A9,'Monthly Data'!$K$2:$K$49)</f>
        <v>637184.807692308</v>
      </c>
      <c r="J9" s="21" t="n">
        <f aca="false">SUMIF('Monthly Data'!$A$2:$A$49,$A9,'Monthly Data'!$L$2:$L$49)</f>
        <v>842108.984646402</v>
      </c>
      <c r="K9" s="24" t="n">
        <f aca="false">IFERROR((J9/I9)*AVERAGEIF('Monthly Data'!$A$2:$A$49,$A9,'Monthly Data'!$M$2:$M$49),0)</f>
        <v>40.9698696655752</v>
      </c>
      <c r="L9" s="21" t="n">
        <f aca="false">SUMIF('Monthly Data'!$A$2:$A$49,$A9,'Monthly Data'!$O$2:$O$49)</f>
        <v>636621.936615385</v>
      </c>
      <c r="M9" s="25" t="n">
        <f aca="false">IFERROR((F9*12)/L9,0)</f>
        <v>7.64502402458116</v>
      </c>
    </row>
    <row r="10" customFormat="false" ht="15" hidden="false" customHeight="false" outlineLevel="0" collapsed="false">
      <c r="A10" s="26" t="s">
        <v>50</v>
      </c>
      <c r="B10" s="27" t="n">
        <f aca="false">SUMIF('Monthly Data'!$A$2:$A$49,$A10,'Monthly Data'!$C$2:$C$49)</f>
        <v>683760.683760684</v>
      </c>
      <c r="C10" s="27" t="n">
        <f aca="false">SUMIF('Monthly Data'!$A$2:$A$49,$A10,'Monthly Data'!$D$2:$D$49)</f>
        <v>701278.632478633</v>
      </c>
      <c r="D10" s="29" t="n">
        <f aca="false">IFERROR(C10/B10,0)</f>
        <v>1.02562</v>
      </c>
      <c r="E10" s="27" t="n">
        <f aca="false">C10-B10</f>
        <v>17517.9487179486</v>
      </c>
      <c r="F10" s="27" t="n">
        <f aca="false">SUMIF('Monthly Data'!$A$2:$A$49,$A10,'Monthly Data'!$G$2:$G$49)</f>
        <v>371945.299145299</v>
      </c>
      <c r="G10" s="27" t="n">
        <f aca="false">SUMIF('Monthly Data'!$A$2:$A$49,$A10,'Monthly Data'!$H$2:$H$49)</f>
        <v>329333.333333333</v>
      </c>
      <c r="H10" s="29" t="n">
        <f aca="false">IFERROR(G10/C10,0)</f>
        <v>0.469618377176732</v>
      </c>
      <c r="I10" s="27" t="n">
        <f aca="false">SUMIF('Monthly Data'!$A$2:$A$49,$A10,'Monthly Data'!$K$2:$K$49)</f>
        <v>582328.888888889</v>
      </c>
      <c r="J10" s="27" t="n">
        <f aca="false">SUMIF('Monthly Data'!$A$2:$A$49,$A10,'Monthly Data'!$L$2:$L$49)</f>
        <v>871708.695384616</v>
      </c>
      <c r="K10" s="30" t="n">
        <f aca="false">IFERROR((J10/I10)*AVERAGEIF('Monthly Data'!$A$2:$A$49,$A10,'Monthly Data'!$M$2:$M$49),0)</f>
        <v>44.9080603083874</v>
      </c>
      <c r="L10" s="27" t="n">
        <f aca="false">SUMIF('Monthly Data'!$A$2:$A$49,$A10,'Monthly Data'!$O$2:$O$49)</f>
        <v>604679.440205128</v>
      </c>
      <c r="M10" s="31" t="n">
        <f aca="false">IFERROR((F10*12)/L10,0)</f>
        <v>7.3813384298786</v>
      </c>
    </row>
    <row r="11" customFormat="false" ht="15" hidden="false" customHeight="false" outlineLevel="0" collapsed="false">
      <c r="A11" s="12" t="s">
        <v>51</v>
      </c>
      <c r="B11" s="21" t="n">
        <f aca="false">SUMIF('Monthly Data'!$A$2:$A$49,$A11,'Monthly Data'!$C$2:$C$49)</f>
        <v>641025.641025641</v>
      </c>
      <c r="C11" s="21" t="n">
        <f aca="false">SUMIF('Monthly Data'!$A$2:$A$49,$A11,'Monthly Data'!$D$2:$D$49)</f>
        <v>641916.666666667</v>
      </c>
      <c r="D11" s="23" t="n">
        <f aca="false">IFERROR(C11/B11,0)</f>
        <v>1.00139</v>
      </c>
      <c r="E11" s="21" t="n">
        <f aca="false">C11-B11</f>
        <v>891.025641025743</v>
      </c>
      <c r="F11" s="21" t="n">
        <f aca="false">SUMIF('Monthly Data'!$A$2:$A$49,$A11,'Monthly Data'!$G$2:$G$49)</f>
        <v>339449.83974359</v>
      </c>
      <c r="G11" s="21" t="n">
        <f aca="false">SUMIF('Monthly Data'!$A$2:$A$49,$A11,'Monthly Data'!$H$2:$H$49)</f>
        <v>302466.826923077</v>
      </c>
      <c r="H11" s="23" t="n">
        <f aca="false">IFERROR(G11/C11,0)</f>
        <v>0.471193291325058</v>
      </c>
      <c r="I11" s="21" t="n">
        <f aca="false">SUMIF('Monthly Data'!$A$2:$A$49,$A11,'Monthly Data'!$K$2:$K$49)</f>
        <v>532024.83974359</v>
      </c>
      <c r="J11" s="21" t="n">
        <f aca="false">SUMIF('Monthly Data'!$A$2:$A$49,$A11,'Monthly Data'!$L$2:$L$49)</f>
        <v>759752.298666253</v>
      </c>
      <c r="K11" s="24" t="n">
        <f aca="false">IFERROR((J11/I11)*AVERAGEIF('Monthly Data'!$A$2:$A$49,$A11,'Monthly Data'!$M$2:$M$49),0)</f>
        <v>44.2692135765784</v>
      </c>
      <c r="L11" s="21" t="n">
        <f aca="false">SUMIF('Monthly Data'!$A$2:$A$49,$A11,'Monthly Data'!$O$2:$O$49)</f>
        <v>538301.793613782</v>
      </c>
      <c r="M11" s="25" t="n">
        <f aca="false">IFERROR((F11*12)/L11,0)</f>
        <v>7.56712707490185</v>
      </c>
    </row>
    <row r="12" customFormat="false" ht="15" hidden="false" customHeight="false" outlineLevel="0" collapsed="false">
      <c r="A12" s="26" t="s">
        <v>52</v>
      </c>
      <c r="B12" s="27" t="n">
        <f aca="false">SUMIF('Monthly Data'!$A$2:$A$49,$A12,'Monthly Data'!$C$2:$C$49)</f>
        <v>683760.683760684</v>
      </c>
      <c r="C12" s="27" t="n">
        <f aca="false">SUMIF('Monthly Data'!$A$2:$A$49,$A12,'Monthly Data'!$D$2:$D$49)</f>
        <v>665528.205128205</v>
      </c>
      <c r="D12" s="29" t="n">
        <f aca="false">IFERROR(C12/B12,0)</f>
        <v>0.973335</v>
      </c>
      <c r="E12" s="27" t="n">
        <f aca="false">C12-B12</f>
        <v>-18232.4786324786</v>
      </c>
      <c r="F12" s="27" t="n">
        <f aca="false">SUMIF('Monthly Data'!$A$2:$A$49,$A12,'Monthly Data'!$G$2:$G$49)</f>
        <v>352214.871794872</v>
      </c>
      <c r="G12" s="27" t="n">
        <f aca="false">SUMIF('Monthly Data'!$A$2:$A$49,$A12,'Monthly Data'!$H$2:$H$49)</f>
        <v>313313.333333333</v>
      </c>
      <c r="H12" s="29" t="n">
        <f aca="false">IFERROR(G12/C12,0)</f>
        <v>0.47077393703093</v>
      </c>
      <c r="I12" s="27" t="n">
        <f aca="false">SUMIF('Monthly Data'!$A$2:$A$49,$A12,'Monthly Data'!$K$2:$K$49)</f>
        <v>551873.333333333</v>
      </c>
      <c r="J12" s="27" t="n">
        <f aca="false">SUMIF('Monthly Data'!$A$2:$A$49,$A12,'Monthly Data'!$L$2:$L$49)</f>
        <v>703733.871215881</v>
      </c>
      <c r="K12" s="30" t="n">
        <f aca="false">IFERROR((J12/I12)*AVERAGEIF('Monthly Data'!$A$2:$A$49,$A12,'Monthly Data'!$M$2:$M$49),0)</f>
        <v>39.5303572215103</v>
      </c>
      <c r="L12" s="27" t="n">
        <f aca="false">SUMIF('Monthly Data'!$A$2:$A$49,$A12,'Monthly Data'!$O$2:$O$49)</f>
        <v>547161.106923077</v>
      </c>
      <c r="M12" s="31" t="n">
        <f aca="false">IFERROR((F12*12)/L12,0)</f>
        <v>7.72455938125123</v>
      </c>
    </row>
    <row r="13" customFormat="false" ht="15" hidden="false" customHeight="false" outlineLevel="0" collapsed="false">
      <c r="A13" s="12" t="s">
        <v>53</v>
      </c>
      <c r="B13" s="21" t="n">
        <f aca="false">SUMIF('Monthly Data'!$A$2:$A$49,$A13,'Monthly Data'!$C$2:$C$49)</f>
        <v>897435.897435898</v>
      </c>
      <c r="C13" s="21" t="n">
        <f aca="false">SUMIF('Monthly Data'!$A$2:$A$49,$A13,'Monthly Data'!$D$2:$D$49)</f>
        <v>955715.384615385</v>
      </c>
      <c r="D13" s="23" t="n">
        <f aca="false">IFERROR(C13/B13,0)</f>
        <v>1.06494</v>
      </c>
      <c r="E13" s="21" t="n">
        <f aca="false">C13-B13</f>
        <v>58279.4871794872</v>
      </c>
      <c r="F13" s="21" t="n">
        <f aca="false">SUMIF('Monthly Data'!$A$2:$A$49,$A13,'Monthly Data'!$G$2:$G$49)</f>
        <v>505025.769230769</v>
      </c>
      <c r="G13" s="21" t="n">
        <f aca="false">SUMIF('Monthly Data'!$A$2:$A$49,$A13,'Monthly Data'!$H$2:$H$49)</f>
        <v>450689.615384615</v>
      </c>
      <c r="H13" s="23" t="n">
        <f aca="false">IFERROR(G13/C13,0)</f>
        <v>0.471573046368809</v>
      </c>
      <c r="I13" s="21" t="n">
        <f aca="false">SUMIF('Monthly Data'!$A$2:$A$49,$A13,'Monthly Data'!$K$2:$K$49)</f>
        <v>791740.384615385</v>
      </c>
      <c r="J13" s="21" t="n">
        <f aca="false">SUMIF('Monthly Data'!$A$2:$A$49,$A13,'Monthly Data'!$L$2:$L$49)</f>
        <v>1071361.72634615</v>
      </c>
      <c r="K13" s="24" t="n">
        <f aca="false">IFERROR((J13/I13)*AVERAGEIF('Monthly Data'!$A$2:$A$49,$A13,'Monthly Data'!$M$2:$M$49),0)</f>
        <v>40.5951905636317</v>
      </c>
      <c r="L13" s="21" t="n">
        <f aca="false">SUMIF('Monthly Data'!$A$2:$A$49,$A13,'Monthly Data'!$O$2:$O$49)</f>
        <v>830156.217423077</v>
      </c>
      <c r="M13" s="25" t="n">
        <f aca="false">IFERROR((F13*12)/L13,0)</f>
        <v>7.30020338772056</v>
      </c>
    </row>
    <row r="14" customFormat="false" ht="15" hidden="false" customHeight="false" outlineLevel="0" collapsed="false">
      <c r="A14" s="26" t="s">
        <v>54</v>
      </c>
      <c r="B14" s="27" t="n">
        <f aca="false">SUMIF('Monthly Data'!$A$2:$A$49,$A14,'Monthly Data'!$C$2:$C$49)</f>
        <v>982905.982905983</v>
      </c>
      <c r="C14" s="27" t="n">
        <f aca="false">SUMIF('Monthly Data'!$A$2:$A$49,$A14,'Monthly Data'!$D$2:$D$49)</f>
        <v>983505.555555556</v>
      </c>
      <c r="D14" s="29" t="n">
        <f aca="false">IFERROR(C14/B14,0)</f>
        <v>1.00061</v>
      </c>
      <c r="E14" s="27" t="n">
        <f aca="false">C14-B14</f>
        <v>599.572649572627</v>
      </c>
      <c r="F14" s="27" t="n">
        <f aca="false">SUMIF('Monthly Data'!$A$2:$A$49,$A14,'Monthly Data'!$G$2:$G$49)</f>
        <v>515194.594017094</v>
      </c>
      <c r="G14" s="27" t="n">
        <f aca="false">SUMIF('Monthly Data'!$A$2:$A$49,$A14,'Monthly Data'!$H$2:$H$49)</f>
        <v>468310.961538462</v>
      </c>
      <c r="H14" s="29" t="n">
        <f aca="false">IFERROR(G14/C14,0)</f>
        <v>0.476165039326011</v>
      </c>
      <c r="I14" s="27" t="n">
        <f aca="false">SUMIF('Monthly Data'!$A$2:$A$49,$A14,'Monthly Data'!$K$2:$K$49)</f>
        <v>810246.260683761</v>
      </c>
      <c r="J14" s="27" t="n">
        <f aca="false">SUMIF('Monthly Data'!$A$2:$A$49,$A14,'Monthly Data'!$L$2:$L$49)</f>
        <v>1202497.00996588</v>
      </c>
      <c r="K14" s="30" t="n">
        <f aca="false">IFERROR((J14/I14)*AVERAGEIF('Monthly Data'!$A$2:$A$49,$A14,'Monthly Data'!$M$2:$M$49),0)</f>
        <v>46.0075030491152</v>
      </c>
      <c r="L14" s="27" t="n">
        <f aca="false">SUMIF('Monthly Data'!$A$2:$A$49,$A14,'Monthly Data'!$O$2:$O$49)</f>
        <v>778342.602955128</v>
      </c>
      <c r="M14" s="31" t="n">
        <f aca="false">IFERROR((F14*12)/L14,0)</f>
        <v>7.94294839410396</v>
      </c>
    </row>
    <row r="15" customFormat="false" ht="15" hidden="false" customHeight="false" outlineLevel="0" collapsed="false">
      <c r="A15" s="12" t="s">
        <v>55</v>
      </c>
      <c r="B15" s="21" t="n">
        <f aca="false">SUMIF('Monthly Data'!$A$2:$A$49,$A15,'Monthly Data'!$C$2:$C$49)</f>
        <v>1068376.06837607</v>
      </c>
      <c r="C15" s="21" t="n">
        <f aca="false">SUMIF('Monthly Data'!$A$2:$A$49,$A15,'Monthly Data'!$D$2:$D$49)</f>
        <v>1076410.25641026</v>
      </c>
      <c r="D15" s="23" t="n">
        <f aca="false">IFERROR(C15/B15,0)</f>
        <v>1.00752</v>
      </c>
      <c r="E15" s="21" t="n">
        <f aca="false">C15-B15</f>
        <v>8034.188034188</v>
      </c>
      <c r="F15" s="21" t="n">
        <f aca="false">SUMIF('Monthly Data'!$A$2:$A$49,$A15,'Monthly Data'!$G$2:$G$49)</f>
        <v>570311.698717949</v>
      </c>
      <c r="G15" s="21" t="n">
        <f aca="false">SUMIF('Monthly Data'!$A$2:$A$49,$A15,'Monthly Data'!$H$2:$H$49)</f>
        <v>506098.557692308</v>
      </c>
      <c r="H15" s="23" t="n">
        <f aca="false">IFERROR(G15/C15,0)</f>
        <v>0.470172552405908</v>
      </c>
      <c r="I15" s="21" t="n">
        <f aca="false">SUMIF('Monthly Data'!$A$2:$A$49,$A15,'Monthly Data'!$K$2:$K$49)</f>
        <v>893234.775641026</v>
      </c>
      <c r="J15" s="21" t="n">
        <f aca="false">SUMIF('Monthly Data'!$A$2:$A$49,$A15,'Monthly Data'!$L$2:$L$49)</f>
        <v>1237529.76525107</v>
      </c>
      <c r="K15" s="24" t="n">
        <f aca="false">IFERROR((J15/I15)*AVERAGEIF('Monthly Data'!$A$2:$A$49,$A15,'Monthly Data'!$M$2:$M$49),0)</f>
        <v>41.5634209168456</v>
      </c>
      <c r="L15" s="21" t="n">
        <f aca="false">SUMIF('Monthly Data'!$A$2:$A$49,$A15,'Monthly Data'!$O$2:$O$49)</f>
        <v>888175.657999466</v>
      </c>
      <c r="M15" s="25" t="n">
        <f aca="false">IFERROR((F15*12)/L15,0)</f>
        <v>7.70539062062372</v>
      </c>
    </row>
    <row r="16" customFormat="false" ht="15" hidden="false" customHeight="false" outlineLevel="0" collapsed="false">
      <c r="A16" s="26" t="s">
        <v>56</v>
      </c>
      <c r="B16" s="27" t="n">
        <f aca="false">SUMIF('Monthly Data'!$A$2:$A$49,$A16,'Monthly Data'!$C$2:$C$49)</f>
        <v>1153846.15384615</v>
      </c>
      <c r="C16" s="27" t="n">
        <f aca="false">SUMIF('Monthly Data'!$A$2:$A$49,$A16,'Monthly Data'!$D$2:$D$49)</f>
        <v>1192996.15384615</v>
      </c>
      <c r="D16" s="29" t="n">
        <f aca="false">IFERROR(C16/B16,0)</f>
        <v>1.03393</v>
      </c>
      <c r="E16" s="27" t="n">
        <f aca="false">C16-B16</f>
        <v>39150</v>
      </c>
      <c r="F16" s="27" t="n">
        <f aca="false">SUMIF('Monthly Data'!$A$2:$A$49,$A16,'Monthly Data'!$G$2:$G$49)</f>
        <v>627812.596153846</v>
      </c>
      <c r="G16" s="27" t="n">
        <f aca="false">SUMIF('Monthly Data'!$A$2:$A$49,$A16,'Monthly Data'!$H$2:$H$49)</f>
        <v>565183.557692308</v>
      </c>
      <c r="H16" s="29" t="n">
        <f aca="false">IFERROR(G16/C16,0)</f>
        <v>0.473751366146644</v>
      </c>
      <c r="I16" s="27" t="n">
        <f aca="false">SUMIF('Monthly Data'!$A$2:$A$49,$A16,'Monthly Data'!$K$2:$K$49)</f>
        <v>985711.442307693</v>
      </c>
      <c r="J16" s="27" t="n">
        <f aca="false">SUMIF('Monthly Data'!$A$2:$A$49,$A16,'Monthly Data'!$L$2:$L$49)</f>
        <v>1350128.79875155</v>
      </c>
      <c r="K16" s="30" t="n">
        <f aca="false">IFERROR((J16/I16)*AVERAGEIF('Monthly Data'!$A$2:$A$49,$A16,'Monthly Data'!$M$2:$M$49),0)</f>
        <v>42.4606948493079</v>
      </c>
      <c r="L16" s="27" t="n">
        <f aca="false">SUMIF('Monthly Data'!$A$2:$A$49,$A16,'Monthly Data'!$O$2:$O$49)</f>
        <v>968904.243086539</v>
      </c>
      <c r="M16" s="31" t="n">
        <f aca="false">IFERROR((F16*12)/L16,0)</f>
        <v>7.77553737389637</v>
      </c>
    </row>
    <row r="17" customFormat="false" ht="15" hidden="false" customHeight="false" outlineLevel="0" collapsed="false">
      <c r="A17" s="14" t="s">
        <v>76</v>
      </c>
      <c r="B17" s="32" t="n">
        <f aca="false">SUM(B5:B16)</f>
        <v>10000000</v>
      </c>
      <c r="C17" s="32" t="n">
        <f aca="false">SUM(C5:C16)</f>
        <v>10129013.1196581</v>
      </c>
      <c r="D17" s="33" t="n">
        <f aca="false">IFERROR(C17/B17,0)</f>
        <v>1.01290131196581</v>
      </c>
      <c r="E17" s="32" t="n">
        <f aca="false">C17-B17</f>
        <v>129013.11965812</v>
      </c>
      <c r="F17" s="32" t="n">
        <f aca="false">SUM(F5:F16)</f>
        <v>5339309.78632479</v>
      </c>
      <c r="G17" s="32" t="n">
        <f aca="false">SUM(G5:G16)</f>
        <v>4789703.33333333</v>
      </c>
      <c r="H17" s="33" t="n">
        <f aca="false">IFERROR(G17/C17,0)</f>
        <v>0.472869693893239</v>
      </c>
      <c r="I17" s="32" t="n">
        <f aca="false">SUM(I5:I16)</f>
        <v>8378013.72222222</v>
      </c>
      <c r="J17" s="14" t="n">
        <f aca="false">AVERAGE(J5:J16)</f>
        <v>973123.644731068</v>
      </c>
      <c r="K17" s="34" t="n">
        <f aca="false">AVERAGE(K5:K16)</f>
        <v>42.3706709059753</v>
      </c>
      <c r="L17" s="32" t="n">
        <f aca="false">AVERAGE(L5:L16)</f>
        <v>692977.574643634</v>
      </c>
      <c r="M17" s="35" t="n">
        <f aca="false">AVERAGE(M5:M16)</f>
        <v>7.7039104025197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6" min="4" style="0" width="13"/>
    <col collapsed="false" customWidth="true" hidden="false" outlineLevel="0" max="7" min="7" style="0" width="18"/>
  </cols>
  <sheetData>
    <row r="1" customFormat="false" ht="22.0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7.75" hidden="false" customHeight="true" outlineLevel="0" collapsed="false">
      <c r="A4" s="11" t="s">
        <v>29</v>
      </c>
      <c r="B4" s="11" t="s">
        <v>57</v>
      </c>
      <c r="C4" s="11" t="s">
        <v>58</v>
      </c>
      <c r="D4" s="11" t="s">
        <v>59</v>
      </c>
      <c r="E4" s="11" t="s">
        <v>62</v>
      </c>
      <c r="F4" s="11" t="s">
        <v>79</v>
      </c>
      <c r="G4" s="11" t="s">
        <v>80</v>
      </c>
    </row>
    <row r="5" customFormat="false" ht="15" hidden="false" customHeight="false" outlineLevel="0" collapsed="false">
      <c r="A5" s="12" t="s">
        <v>31</v>
      </c>
      <c r="B5" s="21" t="n">
        <f aca="false">SUMIF('Monthly Data'!$B$2:$B$49,$A5,'Monthly Data'!$C$2:$C$49)</f>
        <v>3500000</v>
      </c>
      <c r="C5" s="21" t="n">
        <f aca="false">SUMIF('Monthly Data'!$B$2:$B$49,$A5,'Monthly Data'!$D$2:$D$49)</f>
        <v>3617928.46153846</v>
      </c>
      <c r="D5" s="23" t="n">
        <f aca="false">IFERROR(C5/B5,0)</f>
        <v>1.03369384615385</v>
      </c>
      <c r="E5" s="23" t="n">
        <f aca="false">IFERROR(SUMIF('Monthly Data'!$B$2:$B$49,$A5,'Monthly Data'!$H$2:$H$49)/C5,0)</f>
        <v>0.45</v>
      </c>
      <c r="F5" s="24" t="n">
        <f aca="false">AVERAGEIF('Monthly Data'!$B$2:$B$49,$A5,'Monthly Data'!$N$2:$N$49)</f>
        <v>44.647875</v>
      </c>
      <c r="G5" s="25" t="n">
        <f aca="false">AVERAGEIF('Monthly Data'!$B$2:$B$49,$A5,'Monthly Data'!$P$2:$P$49)</f>
        <v>7.86008818383407</v>
      </c>
    </row>
    <row r="6" customFormat="false" ht="15" hidden="false" customHeight="false" outlineLevel="0" collapsed="false">
      <c r="A6" s="26" t="s">
        <v>32</v>
      </c>
      <c r="B6" s="27" t="n">
        <f aca="false">SUMIF('Monthly Data'!$B$2:$B$49,$A6,'Monthly Data'!$C$2:$C$49)</f>
        <v>3000000</v>
      </c>
      <c r="C6" s="27" t="n">
        <f aca="false">SUMIF('Monthly Data'!$B$2:$B$49,$A6,'Monthly Data'!$D$2:$D$49)</f>
        <v>2962190.25641026</v>
      </c>
      <c r="D6" s="29" t="n">
        <f aca="false">IFERROR(C6/B6,0)</f>
        <v>0.987396752136752</v>
      </c>
      <c r="E6" s="29" t="n">
        <f aca="false">IFERROR(SUMIF('Monthly Data'!$B$2:$B$49,$A6,'Monthly Data'!$H$2:$H$49)/C6,0)</f>
        <v>0.4</v>
      </c>
      <c r="F6" s="30" t="n">
        <f aca="false">AVERAGEIF('Monthly Data'!$B$2:$B$49,$A6,'Monthly Data'!$N$2:$N$49)</f>
        <v>49.0079166666667</v>
      </c>
      <c r="G6" s="31" t="n">
        <f aca="false">AVERAGEIF('Monthly Data'!$B$2:$B$49,$A6,'Monthly Data'!$P$2:$P$49)</f>
        <v>6.01493201236402</v>
      </c>
    </row>
    <row r="7" customFormat="false" ht="15" hidden="false" customHeight="false" outlineLevel="0" collapsed="false">
      <c r="A7" s="12" t="s">
        <v>33</v>
      </c>
      <c r="B7" s="21" t="n">
        <f aca="false">SUMIF('Monthly Data'!$B$2:$B$49,$A7,'Monthly Data'!$C$2:$C$49)</f>
        <v>2000000</v>
      </c>
      <c r="C7" s="21" t="n">
        <f aca="false">SUMIF('Monthly Data'!$B$2:$B$49,$A7,'Monthly Data'!$D$2:$D$49)</f>
        <v>2023122.22222222</v>
      </c>
      <c r="D7" s="23" t="n">
        <f aca="false">IFERROR(C7/B7,0)</f>
        <v>1.01156111111111</v>
      </c>
      <c r="E7" s="23" t="n">
        <f aca="false">IFERROR(SUMIF('Monthly Data'!$B$2:$B$49,$A7,'Monthly Data'!$H$2:$H$49)/C7,0)</f>
        <v>0.6</v>
      </c>
      <c r="F7" s="24" t="n">
        <f aca="false">AVERAGEIF('Monthly Data'!$B$2:$B$49,$A7,'Monthly Data'!$N$2:$N$49)</f>
        <v>29.31925</v>
      </c>
      <c r="G7" s="25" t="n">
        <f aca="false">AVERAGEIF('Monthly Data'!$B$2:$B$49,$A7,'Monthly Data'!$P$2:$P$49)</f>
        <v>12.1389602250121</v>
      </c>
    </row>
    <row r="8" customFormat="false" ht="15" hidden="false" customHeight="false" outlineLevel="0" collapsed="false">
      <c r="A8" s="26" t="s">
        <v>34</v>
      </c>
      <c r="B8" s="27" t="n">
        <f aca="false">SUMIF('Monthly Data'!$B$2:$B$49,$A8,'Monthly Data'!$C$2:$C$49)</f>
        <v>1500000</v>
      </c>
      <c r="C8" s="27" t="n">
        <f aca="false">SUMIF('Monthly Data'!$B$2:$B$49,$A8,'Monthly Data'!$D$2:$D$49)</f>
        <v>1525772.17948718</v>
      </c>
      <c r="D8" s="29" t="n">
        <f aca="false">IFERROR(C8/B8,0)</f>
        <v>1.01718145299145</v>
      </c>
      <c r="E8" s="29" t="n">
        <f aca="false">IFERROR(SUMIF('Monthly Data'!$B$2:$B$49,$A8,'Monthly Data'!$H$2:$H$49)/C8,0)</f>
        <v>0.5</v>
      </c>
      <c r="F8" s="30" t="n">
        <f aca="false">AVERAGEIF('Monthly Data'!$B$2:$B$49,$A8,'Monthly Data'!$N$2:$N$49)</f>
        <v>37.3546666666667</v>
      </c>
      <c r="G8" s="31" t="n">
        <f aca="false">AVERAGEIF('Monthly Data'!$B$2:$B$49,$A8,'Monthly Data'!$P$2:$P$49)</f>
        <v>10.1266598068232</v>
      </c>
    </row>
    <row r="9" customFormat="false" ht="15" hidden="false" customHeight="false" outlineLevel="0" collapsed="false">
      <c r="A9" s="14" t="s">
        <v>81</v>
      </c>
      <c r="B9" s="32" t="n">
        <f aca="false">SUM(B5:B8)</f>
        <v>10000000</v>
      </c>
      <c r="C9" s="32" t="n">
        <f aca="false">SUM(C5:C8)</f>
        <v>10129013.1196581</v>
      </c>
      <c r="D9" s="33" t="n">
        <f aca="false">IFERROR(C9/B9,0)</f>
        <v>1.01290131196581</v>
      </c>
      <c r="E9" s="33" t="n">
        <f aca="false">AVERAGE(E5:E8)</f>
        <v>0.4875</v>
      </c>
      <c r="F9" s="34" t="n">
        <f aca="false">AVERAGE(F5:F8)</f>
        <v>40.0824270833333</v>
      </c>
      <c r="G9" s="35" t="n">
        <f aca="false">AVERAGE(G5:G8)</f>
        <v>9.03516005700834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11" min="7" style="0" width="16"/>
    <col collapsed="false" customWidth="true" hidden="false" outlineLevel="0" max="12" min="12" style="0" width="3"/>
  </cols>
  <sheetData>
    <row r="2" customFormat="false" ht="22.05" hidden="false" customHeight="false" outlineLevel="0" collapsed="false">
      <c r="B2" s="36" t="s">
        <v>82</v>
      </c>
      <c r="C2" s="36"/>
      <c r="D2" s="36"/>
      <c r="E2" s="36"/>
      <c r="F2" s="36"/>
      <c r="G2" s="36"/>
      <c r="H2" s="36"/>
      <c r="I2" s="36"/>
      <c r="J2" s="36"/>
      <c r="K2" s="36"/>
    </row>
    <row r="3" customFormat="false" ht="15" hidden="false" customHeight="false" outlineLevel="0" collapsed="false">
      <c r="B3" s="37" t="s">
        <v>83</v>
      </c>
      <c r="C3" s="37"/>
      <c r="D3" s="37"/>
      <c r="E3" s="37"/>
      <c r="F3" s="37"/>
      <c r="G3" s="37"/>
      <c r="H3" s="37"/>
      <c r="I3" s="37"/>
      <c r="J3" s="37"/>
      <c r="K3" s="37"/>
    </row>
    <row r="5" customFormat="false" ht="15" hidden="false" customHeight="false" outlineLevel="0" collapsed="false">
      <c r="B5" s="38" t="s">
        <v>84</v>
      </c>
      <c r="C5" s="38"/>
      <c r="D5" s="38" t="s">
        <v>85</v>
      </c>
      <c r="E5" s="38"/>
      <c r="G5" s="38" t="s">
        <v>86</v>
      </c>
      <c r="H5" s="38"/>
      <c r="I5" s="38" t="s">
        <v>87</v>
      </c>
      <c r="J5" s="38"/>
    </row>
    <row r="6" customFormat="false" ht="15" hidden="false" customHeight="false" outlineLevel="0" collapsed="false">
      <c r="B6" s="39" t="n">
        <f aca="false">'KPI Tracker'!$B$17</f>
        <v>10000000</v>
      </c>
      <c r="C6" s="39"/>
      <c r="D6" s="39" t="n">
        <f aca="false">'KPI Tracker'!$C$17</f>
        <v>10129013.1196581</v>
      </c>
      <c r="E6" s="39"/>
      <c r="G6" s="40" t="n">
        <f aca="false">'KPI Tracker'!$D$17</f>
        <v>1.01290131196581</v>
      </c>
      <c r="H6" s="40"/>
      <c r="I6" s="40" t="n">
        <f aca="false">'KPI Tracker'!$H$17</f>
        <v>0.472869693893239</v>
      </c>
      <c r="J6" s="40"/>
    </row>
    <row r="7" customFormat="false" ht="15" hidden="false" customHeight="false" outlineLevel="0" collapsed="false">
      <c r="B7" s="39"/>
      <c r="C7" s="39"/>
      <c r="D7" s="39"/>
      <c r="E7" s="39"/>
      <c r="G7" s="40"/>
      <c r="H7" s="40"/>
      <c r="I7" s="40"/>
      <c r="J7" s="40"/>
    </row>
    <row r="8" customFormat="false" ht="15" hidden="false" customHeight="false" outlineLevel="0" collapsed="false">
      <c r="B8" s="41" t="s">
        <v>88</v>
      </c>
      <c r="C8" s="41"/>
      <c r="D8" s="41" t="s">
        <v>89</v>
      </c>
      <c r="E8" s="41"/>
      <c r="G8" s="41" t="s">
        <v>90</v>
      </c>
      <c r="H8" s="41"/>
      <c r="I8" s="41" t="s">
        <v>91</v>
      </c>
      <c r="J8" s="41"/>
    </row>
    <row r="10" customFormat="false" ht="15" hidden="false" customHeight="false" outlineLevel="0" collapsed="false">
      <c r="B10" s="38" t="s">
        <v>92</v>
      </c>
      <c r="C10" s="38"/>
      <c r="D10" s="38" t="s">
        <v>93</v>
      </c>
      <c r="E10" s="38"/>
      <c r="G10" s="38" t="s">
        <v>94</v>
      </c>
      <c r="H10" s="38"/>
      <c r="I10" s="38" t="s">
        <v>95</v>
      </c>
      <c r="J10" s="38"/>
    </row>
    <row r="11" customFormat="false" ht="15" hidden="false" customHeight="false" outlineLevel="0" collapsed="false">
      <c r="B11" s="42" t="n">
        <f aca="false">'KPI Tracker'!$K$17</f>
        <v>42.3706709059753</v>
      </c>
      <c r="C11" s="42"/>
      <c r="D11" s="43" t="n">
        <f aca="false">'KPI Tracker'!$M$17</f>
        <v>7.7039104025197</v>
      </c>
      <c r="E11" s="43"/>
      <c r="G11" s="39" t="n">
        <f aca="false">'KPI Tracker'!$J$17</f>
        <v>973123.644731068</v>
      </c>
      <c r="H11" s="39"/>
      <c r="I11" s="44" t="n">
        <f aca="false">'KPI Tracker'!$E$17</f>
        <v>129013.11965812</v>
      </c>
      <c r="J11" s="44"/>
    </row>
    <row r="12" customFormat="false" ht="15" hidden="false" customHeight="false" outlineLevel="0" collapsed="false">
      <c r="B12" s="42"/>
      <c r="C12" s="42"/>
      <c r="D12" s="43"/>
      <c r="E12" s="43"/>
      <c r="G12" s="39"/>
      <c r="H12" s="39"/>
      <c r="I12" s="44"/>
      <c r="J12" s="44"/>
    </row>
    <row r="13" customFormat="false" ht="15" hidden="false" customHeight="false" outlineLevel="0" collapsed="false">
      <c r="B13" s="41" t="s">
        <v>96</v>
      </c>
      <c r="C13" s="41"/>
      <c r="D13" s="41" t="s">
        <v>97</v>
      </c>
      <c r="E13" s="41"/>
      <c r="G13" s="41" t="s">
        <v>98</v>
      </c>
      <c r="H13" s="41"/>
      <c r="I13" s="41" t="s">
        <v>99</v>
      </c>
      <c r="J13" s="41"/>
    </row>
    <row r="52" customFormat="false" ht="15" hidden="false" customHeight="false" outlineLevel="0" collapsed="false">
      <c r="B52" s="45" t="s">
        <v>100</v>
      </c>
      <c r="C52" s="45"/>
      <c r="D52" s="45"/>
      <c r="E52" s="45"/>
      <c r="F52" s="45"/>
      <c r="G52" s="45"/>
      <c r="H52" s="45"/>
      <c r="I52" s="45"/>
      <c r="J52" s="45"/>
    </row>
  </sheetData>
  <mergeCells count="27">
    <mergeCell ref="B2:K2"/>
    <mergeCell ref="B3:K3"/>
    <mergeCell ref="B5:C5"/>
    <mergeCell ref="D5:E5"/>
    <mergeCell ref="G5:H5"/>
    <mergeCell ref="I5:J5"/>
    <mergeCell ref="B6:C7"/>
    <mergeCell ref="D6:E7"/>
    <mergeCell ref="G6:H7"/>
    <mergeCell ref="I6:J7"/>
    <mergeCell ref="B8:C8"/>
    <mergeCell ref="D8:E8"/>
    <mergeCell ref="G8:H8"/>
    <mergeCell ref="I8:J8"/>
    <mergeCell ref="B10:C10"/>
    <mergeCell ref="D10:E10"/>
    <mergeCell ref="G10:H10"/>
    <mergeCell ref="I10:J10"/>
    <mergeCell ref="B11:C12"/>
    <mergeCell ref="D11:E12"/>
    <mergeCell ref="G11:H12"/>
    <mergeCell ref="I11:J12"/>
    <mergeCell ref="B13:C13"/>
    <mergeCell ref="D13:E13"/>
    <mergeCell ref="G13:H13"/>
    <mergeCell ref="I13:J13"/>
    <mergeCell ref="B52:J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2026-08-27T09:13:53Z</dcterms:created>
  <dc:creator>openpyxl</dc:creator>
  <dc:description/>
  <dc:language>en-US</dc:language>
  <cp:lastModifiedBy/>
  <dcterms:modified xsi:type="dcterms:W3CDTF">2026-08-27T09:13:56Z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